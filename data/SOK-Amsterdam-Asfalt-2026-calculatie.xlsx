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elichting" sheetId="1" state="visible" r:id="rId1"/>
    <sheet name="Tarieven" sheetId="2" state="visible" r:id="rId2"/>
    <sheet name="Locaties" sheetId="3" state="visible" r:id="rId3"/>
    <sheet name="Per werksoort" sheetId="4" state="visible" r:id="rId4"/>
    <sheet name="Per asfaltsoort" sheetId="5" state="visible" r:id="rId5"/>
    <sheet name="Per we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;(€ #,##0);-"/>
    <numFmt numFmtId="165" formatCode="#,##0.00;-#,##0.00;-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164" fontId="5" fillId="3" borderId="1" pivotButton="0" quotePrefix="0" xfId="0"/>
    <xf numFmtId="0" fontId="4" fillId="2" borderId="1" applyAlignment="1" pivotButton="0" quotePrefix="0" xfId="0">
      <alignment vertical="center" wrapText="1"/>
    </xf>
    <xf numFmtId="165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165" fontId="3" fillId="0" borderId="0" pivotButton="0" quotePrefix="0" xfId="0"/>
    <xf numFmtId="164" fontId="3" fillId="0" borderId="0" pivotButton="0" quotePrefix="0" xfId="0"/>
    <xf numFmtId="166" fontId="2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SOK Amsterdam - Asfalt 2026 — calculatiebasis</t>
        </is>
      </c>
    </row>
    <row r="2">
      <c r="A2" s="2" t="inlineStr"/>
    </row>
    <row r="3">
      <c r="A3" s="3" t="inlineStr">
        <is>
          <t>Herkomst van de gegevens</t>
        </is>
      </c>
    </row>
    <row r="4">
      <c r="A4" s="2" t="inlineStr">
        <is>
          <t>Uitgelezen uit drie rapporten van Gemeente Amsterdam: Asfalt Schouw NOORD (26-08-2026, 49 pagina's),</t>
        </is>
      </c>
    </row>
    <row r="5">
      <c r="A5" s="2" t="inlineStr">
        <is>
          <t>Notities Asfalt NOORD 2026 en Herstelwerkzaamheden Noord.</t>
        </is>
      </c>
    </row>
    <row r="6">
      <c r="A6" s="2" t="inlineStr">
        <is>
          <t>Coordinaten zijn letterlijk overgenomen uit de GPS-regel van het rapport.</t>
        </is>
      </c>
    </row>
    <row r="7">
      <c r="A7" s="2" t="inlineStr"/>
    </row>
    <row r="8">
      <c r="A8" s="3" t="inlineStr">
        <is>
          <t>Werksoort</t>
        </is>
      </c>
    </row>
    <row r="9">
      <c r="A9" s="2" t="inlineStr">
        <is>
          <t>Staat met de hand in de kantlijn van de rapporten: HB = hotbox, AS = asfalt machinaal.</t>
        </is>
      </c>
    </row>
    <row r="10">
      <c r="A10" s="2" t="inlineStr">
        <is>
          <t>Die codes zijn per melding van de scan afgelezen en visueel nagelopen.</t>
        </is>
      </c>
    </row>
    <row r="11">
      <c r="A11" s="2" t="inlineStr">
        <is>
          <t>Bij de herstelpunten van de nutsbedrijven staat geen code; daar noemt de tekst de asfaltsoort.</t>
        </is>
      </c>
    </row>
    <row r="12">
      <c r="A12" s="2" t="inlineStr">
        <is>
          <t>Zonder code en zonder asfaltsoort blijft de melding 'nog in te delen' — er is niets ingevuld</t>
        </is>
      </c>
    </row>
    <row r="13">
      <c r="A13" s="2" t="inlineStr">
        <is>
          <t>wat niet in de bron staat.</t>
        </is>
      </c>
    </row>
    <row r="14">
      <c r="A14" s="2" t="inlineStr">
        <is>
          <t>Kolom 'Waarom deze werksoort' op het blad Locaties zegt per regel waar de indeling vandaan komt.</t>
        </is>
      </c>
    </row>
    <row r="15">
      <c r="A15" s="2" t="inlineStr"/>
    </row>
    <row r="16">
      <c r="A16" s="3" t="inlineStr">
        <is>
          <t>Asfaltsoort — rood of zwart</t>
        </is>
      </c>
    </row>
    <row r="17">
      <c r="A17" s="2" t="inlineStr">
        <is>
          <t>Rood of zwart zegt waar het werk in zit, niet hoe het wordt uitgevoerd: zowel rood als zwart</t>
        </is>
      </c>
    </row>
    <row r="18">
      <c r="A18" s="2" t="inlineStr">
        <is>
          <t>asfalt kan met de hotbox of machinaal. Het is dus een aparte kolom, geen werksoort.</t>
        </is>
      </c>
    </row>
    <row r="19">
      <c r="A19" s="2" t="inlineStr">
        <is>
          <t>Het rapport noemt de asfaltsoort alleen bij de herstelpunten van de nutsbedrijven —</t>
        </is>
      </c>
    </row>
    <row r="20">
      <c r="A20" s="2" t="inlineStr">
        <is>
          <t>8 x zwart (rijweg) en 1 x rood (fiets-/voetpad). Bij de overige 147 staat het er niet,</t>
        </is>
      </c>
    </row>
    <row r="21">
      <c r="A21" s="2" t="inlineStr">
        <is>
          <t>en dan blijft de kolom leeg. Zie het blad Per asfaltsoort voor de percentages.</t>
        </is>
      </c>
    </row>
    <row r="22">
      <c r="A22" s="2" t="inlineStr"/>
    </row>
    <row r="23">
      <c r="A23" s="3" t="inlineStr">
        <is>
          <t>Foto's</t>
        </is>
      </c>
    </row>
    <row r="24">
      <c r="A24" s="2" t="inlineStr">
        <is>
          <t>De foto's komen uit het digitale rapport, niet uit de scan. Waar de schouwer meer dan een</t>
        </is>
      </c>
    </row>
    <row r="25">
      <c r="A25" s="2" t="inlineStr">
        <is>
          <t>foto maakte staan ze allemaal in een genummerd blad, in dezelfde volgorde als zijn tekst</t>
        </is>
      </c>
    </row>
    <row r="26">
      <c r="A26" s="2" t="inlineStr">
        <is>
          <t>('foto 1', 'foto 3'). Kolom 'Aantal foto's' zegt hoeveel opnames er per locatie zijn.</t>
        </is>
      </c>
    </row>
    <row r="27">
      <c r="A27" s="2" t="inlineStr"/>
    </row>
    <row r="28">
      <c r="A28" s="3" t="inlineStr">
        <is>
          <t>Maatvoering</t>
        </is>
      </c>
    </row>
    <row r="29">
      <c r="A29" s="2" t="inlineStr">
        <is>
          <t>De schouwer noteert vrij: '4.00 x 1.40 + 1.80 x 2.00', '2x 2.20 x 0.45', 'Lengte 3,05 Breedte 1,81'.</t>
        </is>
      </c>
    </row>
    <row r="30">
      <c r="A30" s="2" t="inlineStr">
        <is>
          <t>Alle varianten zijn omgerekend naar vlakken, en daaruit volgt het oppervlak.</t>
        </is>
      </c>
    </row>
    <row r="31">
      <c r="A31" s="2" t="inlineStr">
        <is>
          <t>Gecontroleerd tegen de eigen totalen van het rapport: 5,5 m2 en 4,1 m2 komen exact uit.</t>
        </is>
      </c>
    </row>
    <row r="32">
      <c r="A32" s="2" t="inlineStr">
        <is>
          <t>10 van de 156 meldingen noemen geen enkele maat; die hebben geen oppervlak.</t>
        </is>
      </c>
    </row>
    <row r="33">
      <c r="A33" s="2" t="inlineStr"/>
    </row>
    <row r="34">
      <c r="A34" s="3" t="inlineStr">
        <is>
          <t>Tarieven</t>
        </is>
      </c>
    </row>
    <row r="35">
      <c r="A35" s="2" t="inlineStr">
        <is>
          <t>De blauwe cellen op het blad Tarieven zijn invoer — pas ze aan naar je eigen prijspeil.</t>
        </is>
      </c>
    </row>
    <row r="36">
      <c r="A36" s="2" t="inlineStr">
        <is>
          <t>De startwaarden zijn de CROW-kostenkengetallen uit crow_kosten.py en zijn een orde van</t>
        </is>
      </c>
    </row>
    <row r="37">
      <c r="A37" s="2" t="inlineStr">
        <is>
          <t>grootte, geen offerte. Alle bedragen in dit werkboek rekenen daarop door.</t>
        </is>
      </c>
    </row>
    <row r="38">
      <c r="A38" s="2" t="inlineStr">
        <is>
          <t>Met de startwaarden komt het totaal uit tussen € 37.584 en € 89.568.</t>
        </is>
      </c>
    </row>
    <row r="39">
      <c r="A39" s="2" t="inlineStr"/>
    </row>
    <row r="40">
      <c r="A40" s="3" t="inlineStr">
        <is>
          <t>Let op</t>
        </is>
      </c>
    </row>
    <row r="41">
      <c r="A41" s="2" t="inlineStr">
        <is>
          <t>Kolom 'Let op' op het blad Locaties markeert elke regel die aandacht vraagt.</t>
        </is>
      </c>
    </row>
    <row r="42">
      <c r="A42" s="2" t="inlineStr">
        <is>
          <t>Baanakkerspad heeft geen GPS in het bronrapport.</t>
        </is>
      </c>
    </row>
    <row r="43">
      <c r="A43" s="2" t="inlineStr">
        <is>
          <t>Stellingweg: het adres in het rapport (Ceramiquelaan 723) ligt 3,4 km van de overige</t>
        </is>
      </c>
    </row>
    <row r="44">
      <c r="A44" s="2" t="inlineStr">
        <is>
          <t>punten op die straat — coordinaat controleren.</t>
        </is>
      </c>
    </row>
    <row r="45">
      <c r="A45" s="2" t="inlineStr"/>
    </row>
    <row r="46">
      <c r="A46" s="3" t="inlineStr">
        <is>
          <t>Bijwerken</t>
        </is>
      </c>
    </row>
    <row r="47">
      <c r="A47" s="2" t="inlineStr">
        <is>
          <t>Dit werkboek is gegenereerd uit data/sok_amsterdam_asfalt_2026.json met</t>
        </is>
      </c>
    </row>
    <row r="48">
      <c r="A48" s="2" t="inlineStr">
        <is>
          <t>scripts/maak_calculatie_excel.py. Verandert de dataset, draai dat script opnieuw.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34" customWidth="1" min="5" max="5"/>
  </cols>
  <sheetData>
    <row r="1">
      <c r="A1" s="1" t="inlineStr">
        <is>
          <t>Tarieven per werksoort — de blauwe cellen zijn invoer</t>
        </is>
      </c>
    </row>
    <row r="3">
      <c r="A3" s="4" t="inlineStr">
        <is>
          <t>Werksoort</t>
        </is>
      </c>
      <c r="B3" s="4" t="inlineStr">
        <is>
          <t>Rekeneenheid</t>
        </is>
      </c>
      <c r="C3" s="4" t="inlineStr">
        <is>
          <t>Tarief min</t>
        </is>
      </c>
      <c r="D3" s="4" t="inlineStr">
        <is>
          <t>Tarief max</t>
        </is>
      </c>
      <c r="E3" s="4" t="inlineStr">
        <is>
          <t>Herkomst startwaarde</t>
        </is>
      </c>
    </row>
    <row r="4">
      <c r="A4" s="2" t="inlineStr">
        <is>
          <t>Hotbox werkzaamheden</t>
        </is>
      </c>
      <c r="B4" s="2" t="inlineStr">
        <is>
          <t>plek</t>
        </is>
      </c>
      <c r="C4" s="5" t="n">
        <v>150</v>
      </c>
      <c r="D4" s="5" t="n">
        <v>400</v>
      </c>
      <c r="E4" s="2" t="inlineStr">
        <is>
          <t>€150–400 / plek</t>
        </is>
      </c>
    </row>
    <row r="5">
      <c r="A5" s="2" t="inlineStr">
        <is>
          <t>Asfalt machinaal</t>
        </is>
      </c>
      <c r="B5" s="2" t="inlineStr">
        <is>
          <t>m2</t>
        </is>
      </c>
      <c r="C5" s="5" t="n">
        <v>20</v>
      </c>
      <c r="D5" s="5" t="n">
        <v>40</v>
      </c>
      <c r="E5" s="2" t="inlineStr">
        <is>
          <t>€20–40 / m²</t>
        </is>
      </c>
    </row>
    <row r="6">
      <c r="A6" s="2" t="inlineStr">
        <is>
          <t>Scheuren vullen</t>
        </is>
      </c>
      <c r="B6" s="2" t="inlineStr">
        <is>
          <t>m1</t>
        </is>
      </c>
      <c r="C6" s="5" t="n">
        <v>5</v>
      </c>
      <c r="D6" s="5" t="n">
        <v>15</v>
      </c>
      <c r="E6" s="2" t="inlineStr">
        <is>
          <t>€5–15 / m¹</t>
        </is>
      </c>
    </row>
    <row r="7">
      <c r="A7" s="2" t="inlineStr">
        <is>
          <t>Asfalt – nog in te delen</t>
        </is>
      </c>
      <c r="B7" s="2" t="inlineStr">
        <is>
          <t>m2</t>
        </is>
      </c>
      <c r="C7" s="5" t="n">
        <v>0</v>
      </c>
      <c r="D7" s="5" t="n">
        <v>0</v>
      </c>
      <c r="E7" s="2" t="inlineStr">
        <is>
          <t>geen tarief — werksoort nog niet bepaald</t>
        </is>
      </c>
    </row>
    <row r="9">
      <c r="A9" s="2" t="inlineStr">
        <is>
          <t>Startwaarden: CROW-kostenkengetallen (crow_kosten.py). Orde van grootte, geen offerte.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22" customWidth="1" min="4" max="4"/>
    <col width="52" customWidth="1" min="5" max="5"/>
    <col width="34" customWidth="1" min="6" max="6"/>
    <col width="9" customWidth="1" min="7" max="7"/>
    <col width="11" customWidth="1" min="8" max="8"/>
    <col width="13" customWidth="1" min="9" max="9"/>
    <col width="13" customWidth="1" min="10" max="10"/>
    <col width="12" customWidth="1" min="11" max="11"/>
    <col width="12" customWidth="1" min="12" max="12"/>
    <col width="11" customWidth="1" min="13" max="13"/>
    <col width="11" customWidth="1" min="14" max="14"/>
    <col width="12" customWidth="1" min="15" max="15"/>
    <col width="12" customWidth="1" min="16" max="16"/>
    <col width="10" customWidth="1" min="17" max="17"/>
    <col width="12" customWidth="1" min="18" max="18"/>
    <col width="7" customWidth="1" min="19" max="19"/>
    <col width="11" customWidth="1" min="20" max="20"/>
    <col width="11" customWidth="1" min="21" max="21"/>
    <col width="30" customWidth="1" min="22" max="22"/>
    <col width="34" customWidth="1" min="23" max="23"/>
    <col width="9" customWidth="1" min="24" max="24"/>
    <col width="24" customWidth="1" min="25" max="25"/>
    <col width="44" customWidth="1" min="26" max="26"/>
    <col width="52" customWidth="1" min="27" max="27"/>
    <col width="26" customWidth="1" min="28" max="28"/>
    <col width="22" customWidth="1" min="29" max="29"/>
    <col width="12" customWidth="1" min="30" max="30"/>
  </cols>
  <sheetData>
    <row r="1">
      <c r="A1" s="6" t="inlineStr">
        <is>
          <t>Referentie</t>
        </is>
      </c>
      <c r="B1" s="6" t="inlineStr">
        <is>
          <t>Werksoort</t>
        </is>
      </c>
      <c r="C1" s="6" t="inlineStr">
        <is>
          <t>Straat</t>
        </is>
      </c>
      <c r="D1" s="6" t="inlineStr">
        <is>
          <t>Buurt</t>
        </is>
      </c>
      <c r="E1" s="6" t="inlineStr">
        <is>
          <t>Wat is er geschouwd</t>
        </is>
      </c>
      <c r="F1" s="6" t="inlineStr">
        <is>
          <t>Maatvoering</t>
        </is>
      </c>
      <c r="G1" s="6" t="inlineStr">
        <is>
          <t>Aantal vlakken</t>
        </is>
      </c>
      <c r="H1" s="6" t="inlineStr">
        <is>
          <t>Lengte (m)</t>
        </is>
      </c>
      <c r="I1" s="6" t="inlineStr">
        <is>
          <t>Kleinste breedte (m)</t>
        </is>
      </c>
      <c r="J1" s="6" t="inlineStr">
        <is>
          <t>Oppervlak (m2)</t>
        </is>
      </c>
      <c r="K1" s="6" t="inlineStr">
        <is>
          <t>Rekeneenheid</t>
        </is>
      </c>
      <c r="L1" s="6" t="inlineStr">
        <is>
          <t>Hoeveelheid</t>
        </is>
      </c>
      <c r="M1" s="6" t="inlineStr">
        <is>
          <t>Tarief min</t>
        </is>
      </c>
      <c r="N1" s="6" t="inlineStr">
        <is>
          <t>Tarief max</t>
        </is>
      </c>
      <c r="O1" s="6" t="inlineStr">
        <is>
          <t>Kosten min</t>
        </is>
      </c>
      <c r="P1" s="6" t="inlineStr">
        <is>
          <t>Kosten max</t>
        </is>
      </c>
      <c r="Q1" s="6" t="inlineStr">
        <is>
          <t>Prioriteit</t>
        </is>
      </c>
      <c r="R1" s="6" t="inlineStr">
        <is>
          <t>Schouwdatum</t>
        </is>
      </c>
      <c r="S1" s="6" t="inlineStr">
        <is>
          <t>Week</t>
        </is>
      </c>
      <c r="T1" s="6" t="inlineStr">
        <is>
          <t>GPS breedte</t>
        </is>
      </c>
      <c r="U1" s="6" t="inlineStr">
        <is>
          <t>GPS lengte</t>
        </is>
      </c>
      <c r="V1" s="6" t="inlineStr">
        <is>
          <t>Adres bij GPS</t>
        </is>
      </c>
      <c r="W1" s="6" t="inlineStr">
        <is>
          <t>Bron</t>
        </is>
      </c>
      <c r="X1" s="6" t="inlineStr">
        <is>
          <t>Pagina</t>
        </is>
      </c>
      <c r="Y1" s="6" t="inlineStr">
        <is>
          <t>Foto</t>
        </is>
      </c>
      <c r="Z1" s="6" t="inlineStr">
        <is>
          <t>Waarom deze werksoort</t>
        </is>
      </c>
      <c r="AA1" s="6" t="inlineStr">
        <is>
          <t>Let op</t>
        </is>
      </c>
      <c r="AB1" s="6" t="inlineStr">
        <is>
          <t>Asset-code (weg)</t>
        </is>
      </c>
      <c r="AC1" s="6" t="inlineStr">
        <is>
          <t>Asfaltsoort</t>
        </is>
      </c>
      <c r="AD1" s="6" t="inlineStr">
        <is>
          <t>Aantal foto's</t>
        </is>
      </c>
    </row>
    <row r="2">
      <c r="A2" s="2" t="inlineStr">
        <is>
          <t>SOK-AMS-2026-001</t>
        </is>
      </c>
      <c r="B2" s="2" t="inlineStr">
        <is>
          <t>Asfalt – nog in te delen</t>
        </is>
      </c>
      <c r="C2" s="2" t="inlineStr">
        <is>
          <t>Oostzanerdijk</t>
        </is>
      </c>
      <c r="D2" s="2" t="inlineStr">
        <is>
          <t>Oostzanerwerf</t>
        </is>
      </c>
      <c r="E2" s="2" t="inlineStr">
        <is>
          <t>7.60 x 0.30</t>
        </is>
      </c>
      <c r="F2" s="2" t="inlineStr">
        <is>
          <t>7,60 × 0,30 m  (samen 2,3 m²)</t>
        </is>
      </c>
      <c r="G2" s="2" t="n">
        <v>1</v>
      </c>
      <c r="H2" s="7" t="n">
        <v>7.6</v>
      </c>
      <c r="I2" s="7" t="n">
        <v>0.3</v>
      </c>
      <c r="J2" s="7" t="n">
        <v>2.28</v>
      </c>
      <c r="K2" s="2">
        <f>INDEX(Tarieven!$A$4:$E$7,MATCH($B2,Tarieven!$A$4:$A$7,0),2)</f>
        <v/>
      </c>
      <c r="L2" s="7">
        <f>IF($K2="plek",$G2,IF($K2="m1",$H2,$J2))</f>
        <v/>
      </c>
      <c r="M2" s="8">
        <f>INDEX(Tarieven!$A$4:$E$7,MATCH($B2,Tarieven!$A$4:$A$7,0),3)</f>
        <v/>
      </c>
      <c r="N2" s="8">
        <f>INDEX(Tarieven!$A$4:$E$7,MATCH($B2,Tarieven!$A$4:$A$7,0),4)</f>
        <v/>
      </c>
      <c r="O2" s="8">
        <f>IFERROR($L2*$M2,0)</f>
        <v/>
      </c>
      <c r="P2" s="8">
        <f>IFERROR($L2*$N2,0)</f>
        <v/>
      </c>
      <c r="Q2" s="2" t="inlineStr">
        <is>
          <t>normaal</t>
        </is>
      </c>
      <c r="R2" s="2" t="inlineStr">
        <is>
          <t>2026-06-08</t>
        </is>
      </c>
      <c r="S2" s="2" t="n">
        <v>24</v>
      </c>
      <c r="T2" s="2" t="n">
        <v>52.421</v>
      </c>
      <c r="U2" s="2" t="n">
        <v>4.87833</v>
      </c>
      <c r="V2" s="2" t="inlineStr">
        <is>
          <t>Oostzanerdijk 141A, Amsterdam</t>
        </is>
      </c>
      <c r="W2" s="2" t="inlineStr">
        <is>
          <t>Asfalt Schouw NOORD — 26 augustus 2026</t>
        </is>
      </c>
      <c r="X2" s="2" t="inlineStr">
        <is>
          <t>1/49</t>
        </is>
      </c>
      <c r="Y2" s="2" t="inlineStr">
        <is>
          <t>001-oostzanerdijk.jpg</t>
        </is>
      </c>
      <c r="Z2" s="9" t="inlineStr">
        <is>
          <t>geen code in de kantlijn en geen asfaltsoort in de tekst</t>
        </is>
      </c>
      <c r="AA2" s="9" t="inlineStr"/>
      <c r="AB2" s="2" t="inlineStr">
        <is>
          <t>SOK-AMS-OOSTZANERDIJK</t>
        </is>
      </c>
      <c r="AC2" s="2" t="inlineStr"/>
      <c r="AD2" s="2" t="n">
        <v>1</v>
      </c>
    </row>
    <row r="3">
      <c r="A3" s="2" t="inlineStr">
        <is>
          <t>SOK-AMS-2026-002</t>
        </is>
      </c>
      <c r="B3" s="2" t="inlineStr">
        <is>
          <t>Asfalt – nog in te delen</t>
        </is>
      </c>
      <c r="C3" s="2" t="inlineStr">
        <is>
          <t>Oostzanerdijk</t>
        </is>
      </c>
      <c r="D3" s="2" t="inlineStr">
        <is>
          <t>Oostzanerwerf</t>
        </is>
      </c>
      <c r="E3" s="2" t="inlineStr">
        <is>
          <t>8.00 x 0.30</t>
        </is>
      </c>
      <c r="F3" s="2" t="inlineStr">
        <is>
          <t>8,00 × 0,30 m  (samen 2,4 m²)</t>
        </is>
      </c>
      <c r="G3" s="2" t="n">
        <v>1</v>
      </c>
      <c r="H3" s="7" t="n">
        <v>8</v>
      </c>
      <c r="I3" s="7" t="n">
        <v>0.3</v>
      </c>
      <c r="J3" s="7" t="n">
        <v>2.4</v>
      </c>
      <c r="K3" s="2">
        <f>INDEX(Tarieven!$A$4:$E$7,MATCH($B3,Tarieven!$A$4:$A$7,0),2)</f>
        <v/>
      </c>
      <c r="L3" s="7">
        <f>IF($K3="plek",$G3,IF($K3="m1",$H3,$J3))</f>
        <v/>
      </c>
      <c r="M3" s="8">
        <f>INDEX(Tarieven!$A$4:$E$7,MATCH($B3,Tarieven!$A$4:$A$7,0),3)</f>
        <v/>
      </c>
      <c r="N3" s="8">
        <f>INDEX(Tarieven!$A$4:$E$7,MATCH($B3,Tarieven!$A$4:$A$7,0),4)</f>
        <v/>
      </c>
      <c r="O3" s="8">
        <f>IFERROR($L3*$M3,0)</f>
        <v/>
      </c>
      <c r="P3" s="8">
        <f>IFERROR($L3*$N3,0)</f>
        <v/>
      </c>
      <c r="Q3" s="2" t="inlineStr">
        <is>
          <t>normaal</t>
        </is>
      </c>
      <c r="R3" s="2" t="inlineStr">
        <is>
          <t>2026-06-08</t>
        </is>
      </c>
      <c r="S3" s="2" t="n">
        <v>24</v>
      </c>
      <c r="T3" s="2" t="n">
        <v>52.4205</v>
      </c>
      <c r="U3" s="2" t="n">
        <v>4.87857</v>
      </c>
      <c r="V3" s="2" t="inlineStr">
        <is>
          <t>Oostzanerdijk 139, Amsterdam</t>
        </is>
      </c>
      <c r="W3" s="2" t="inlineStr">
        <is>
          <t>Asfalt Schouw NOORD — 26 augustus 2026</t>
        </is>
      </c>
      <c r="X3" s="2" t="inlineStr">
        <is>
          <t>1/49</t>
        </is>
      </c>
      <c r="Y3" s="2" t="inlineStr">
        <is>
          <t>002-oostzanerdijk.jpg</t>
        </is>
      </c>
      <c r="Z3" s="9" t="inlineStr">
        <is>
          <t>geen code in de kantlijn en geen asfaltsoort in de tekst</t>
        </is>
      </c>
      <c r="AA3" s="9" t="inlineStr"/>
      <c r="AB3" s="2" t="inlineStr">
        <is>
          <t>SOK-AMS-OOSTZANERDIJK</t>
        </is>
      </c>
      <c r="AC3" s="2" t="inlineStr"/>
      <c r="AD3" s="2" t="n">
        <v>1</v>
      </c>
    </row>
    <row r="4">
      <c r="A4" s="2" t="inlineStr">
        <is>
          <t>SOK-AMS-2026-003</t>
        </is>
      </c>
      <c r="B4" s="2" t="inlineStr">
        <is>
          <t>Asfalt – nog in te delen</t>
        </is>
      </c>
      <c r="C4" s="2" t="inlineStr">
        <is>
          <t>Stellingweg</t>
        </is>
      </c>
      <c r="D4" s="2" t="inlineStr">
        <is>
          <t>Oostzanerwerf</t>
        </is>
      </c>
      <c r="E4" s="2" t="inlineStr">
        <is>
          <t>Stellingenweg t.h.v. 202</t>
        </is>
      </c>
      <c r="F4" s="2" t="inlineStr"/>
      <c r="G4" s="2" t="n">
        <v>0</v>
      </c>
      <c r="H4" s="7" t="n"/>
      <c r="I4" s="7" t="n"/>
      <c r="J4" s="7" t="n"/>
      <c r="K4" s="2">
        <f>INDEX(Tarieven!$A$4:$E$7,MATCH($B4,Tarieven!$A$4:$A$7,0),2)</f>
        <v/>
      </c>
      <c r="L4" s="7">
        <f>IF($K4="plek",$G4,IF($K4="m1",$H4,$J4))</f>
        <v/>
      </c>
      <c r="M4" s="8">
        <f>INDEX(Tarieven!$A$4:$E$7,MATCH($B4,Tarieven!$A$4:$A$7,0),3)</f>
        <v/>
      </c>
      <c r="N4" s="8">
        <f>INDEX(Tarieven!$A$4:$E$7,MATCH($B4,Tarieven!$A$4:$A$7,0),4)</f>
        <v/>
      </c>
      <c r="O4" s="8">
        <f>IFERROR($L4*$M4,0)</f>
        <v/>
      </c>
      <c r="P4" s="8">
        <f>IFERROR($L4*$N4,0)</f>
        <v/>
      </c>
      <c r="Q4" s="2" t="inlineStr">
        <is>
          <t>normaal</t>
        </is>
      </c>
      <c r="R4" s="2" t="inlineStr">
        <is>
          <t>2026-06-08</t>
        </is>
      </c>
      <c r="S4" s="2" t="n">
        <v>24</v>
      </c>
      <c r="T4" s="2" t="n">
        <v>52.38688</v>
      </c>
      <c r="U4" s="2" t="n">
        <v>4.90561</v>
      </c>
      <c r="V4" s="2" t="inlineStr">
        <is>
          <t>Céramiquelaan 723, Amsterdam</t>
        </is>
      </c>
      <c r="W4" s="2" t="inlineStr">
        <is>
          <t>Asfalt Schouw NOORD — 26 augustus 2026</t>
        </is>
      </c>
      <c r="X4" s="2" t="inlineStr">
        <is>
          <t>1/49</t>
        </is>
      </c>
      <c r="Y4" s="2" t="inlineStr">
        <is>
          <t>003-stellingweg.jpg</t>
        </is>
      </c>
      <c r="Z4" s="9" t="inlineStr">
        <is>
          <t>geen code in de kantlijn en geen asfaltsoort in de tekst</t>
        </is>
      </c>
      <c r="AA4" s="9" t="inlineStr">
        <is>
          <t>Coordinaat ligt 3.4 km van de overige punten op Stellingweg — het adres in het rapport (Céramiquelaan 723, Amsterdam) hoort bij een andere buurt. Controleer dit punt op de kaart. · geen maatvoering in de bron</t>
        </is>
      </c>
      <c r="AB4" s="2" t="inlineStr">
        <is>
          <t>SOK-AMS-STELLINGWEG</t>
        </is>
      </c>
      <c r="AC4" s="2" t="inlineStr"/>
      <c r="AD4" s="2" t="n">
        <v>1</v>
      </c>
    </row>
    <row r="5">
      <c r="A5" s="2" t="inlineStr">
        <is>
          <t>SOK-AMS-2026-004</t>
        </is>
      </c>
      <c r="B5" s="2" t="inlineStr">
        <is>
          <t>Asfalt – nog in te delen</t>
        </is>
      </c>
      <c r="C5" s="2" t="inlineStr">
        <is>
          <t>Stellingweg</t>
        </is>
      </c>
      <c r="D5" s="2" t="inlineStr">
        <is>
          <t>Oostzanerwerf</t>
        </is>
      </c>
      <c r="E5" s="2" t="inlineStr">
        <is>
          <t>Stellingweg t.h.v. 202 0.80x 0.80</t>
        </is>
      </c>
      <c r="F5" s="2" t="inlineStr">
        <is>
          <t>0,80 × 0,80 m  (samen 0,6 m²)</t>
        </is>
      </c>
      <c r="G5" s="2" t="n">
        <v>1</v>
      </c>
      <c r="H5" s="7" t="n">
        <v>0.8</v>
      </c>
      <c r="I5" s="7" t="n">
        <v>0.8</v>
      </c>
      <c r="J5" s="7" t="n">
        <v>0.64</v>
      </c>
      <c r="K5" s="2">
        <f>INDEX(Tarieven!$A$4:$E$7,MATCH($B5,Tarieven!$A$4:$A$7,0),2)</f>
        <v/>
      </c>
      <c r="L5" s="7">
        <f>IF($K5="plek",$G5,IF($K5="m1",$H5,$J5))</f>
        <v/>
      </c>
      <c r="M5" s="8">
        <f>INDEX(Tarieven!$A$4:$E$7,MATCH($B5,Tarieven!$A$4:$A$7,0),3)</f>
        <v/>
      </c>
      <c r="N5" s="8">
        <f>INDEX(Tarieven!$A$4:$E$7,MATCH($B5,Tarieven!$A$4:$A$7,0),4)</f>
        <v/>
      </c>
      <c r="O5" s="8">
        <f>IFERROR($L5*$M5,0)</f>
        <v/>
      </c>
      <c r="P5" s="8">
        <f>IFERROR($L5*$N5,0)</f>
        <v/>
      </c>
      <c r="Q5" s="2" t="inlineStr">
        <is>
          <t>normaal</t>
        </is>
      </c>
      <c r="R5" s="2" t="inlineStr">
        <is>
          <t>2026-06-08</t>
        </is>
      </c>
      <c r="S5" s="2" t="n">
        <v>24</v>
      </c>
      <c r="T5" s="2" t="n">
        <v>52.41686</v>
      </c>
      <c r="U5" s="2" t="n">
        <v>4.89436</v>
      </c>
      <c r="V5" s="2" t="inlineStr">
        <is>
          <t>Stellingweg 169A, Amsterdam</t>
        </is>
      </c>
      <c r="W5" s="2" t="inlineStr">
        <is>
          <t>Asfalt Schouw NOORD — 26 augustus 2026</t>
        </is>
      </c>
      <c r="X5" s="2" t="inlineStr">
        <is>
          <t>2/49</t>
        </is>
      </c>
      <c r="Y5" s="2" t="inlineStr">
        <is>
          <t>004-stellingweg.jpg</t>
        </is>
      </c>
      <c r="Z5" s="9" t="inlineStr">
        <is>
          <t>geen code in de kantlijn en geen asfaltsoort in de tekst</t>
        </is>
      </c>
      <c r="AA5" s="9" t="inlineStr"/>
      <c r="AB5" s="2" t="inlineStr">
        <is>
          <t>SOK-AMS-STELLINGWEG</t>
        </is>
      </c>
      <c r="AC5" s="2" t="inlineStr"/>
      <c r="AD5" s="2" t="n">
        <v>1</v>
      </c>
    </row>
    <row r="6">
      <c r="A6" s="2" t="inlineStr">
        <is>
          <t>SOK-AMS-2026-005</t>
        </is>
      </c>
      <c r="B6" s="2" t="inlineStr">
        <is>
          <t>Asfalt – nog in te delen</t>
        </is>
      </c>
      <c r="C6" s="2" t="inlineStr">
        <is>
          <t>Stellingweg</t>
        </is>
      </c>
      <c r="D6" s="2" t="inlineStr"/>
      <c r="E6" s="2" t="inlineStr">
        <is>
          <t>Stellingweg 27/153 _ 4.80 x 0.90</t>
        </is>
      </c>
      <c r="F6" s="2" t="inlineStr">
        <is>
          <t>4,80 × 0,90 m  (samen 4,3 m²)</t>
        </is>
      </c>
      <c r="G6" s="2" t="n">
        <v>1</v>
      </c>
      <c r="H6" s="7" t="n">
        <v>4.8</v>
      </c>
      <c r="I6" s="7" t="n">
        <v>0.9</v>
      </c>
      <c r="J6" s="7" t="n">
        <v>4.32</v>
      </c>
      <c r="K6" s="2">
        <f>INDEX(Tarieven!$A$4:$E$7,MATCH($B6,Tarieven!$A$4:$A$7,0),2)</f>
        <v/>
      </c>
      <c r="L6" s="7">
        <f>IF($K6="plek",$G6,IF($K6="m1",$H6,$J6))</f>
        <v/>
      </c>
      <c r="M6" s="8">
        <f>INDEX(Tarieven!$A$4:$E$7,MATCH($B6,Tarieven!$A$4:$A$7,0),3)</f>
        <v/>
      </c>
      <c r="N6" s="8">
        <f>INDEX(Tarieven!$A$4:$E$7,MATCH($B6,Tarieven!$A$4:$A$7,0),4)</f>
        <v/>
      </c>
      <c r="O6" s="8">
        <f>IFERROR($L6*$M6,0)</f>
        <v/>
      </c>
      <c r="P6" s="8">
        <f>IFERROR($L6*$N6,0)</f>
        <v/>
      </c>
      <c r="Q6" s="2" t="inlineStr">
        <is>
          <t>normaal</t>
        </is>
      </c>
      <c r="R6" s="2" t="inlineStr">
        <is>
          <t>2026-06-08</t>
        </is>
      </c>
      <c r="S6" s="2" t="n">
        <v>24</v>
      </c>
      <c r="T6" s="2" t="n">
        <v>52.41717</v>
      </c>
      <c r="U6" s="2" t="n">
        <v>4.89436</v>
      </c>
      <c r="V6" s="2" t="inlineStr">
        <is>
          <t>Stellingweg 159, Amsterdam</t>
        </is>
      </c>
      <c r="W6" s="2" t="inlineStr">
        <is>
          <t>Asfalt Schouw NOORD — 26 augustus 2026</t>
        </is>
      </c>
      <c r="X6" s="2" t="inlineStr">
        <is>
          <t>2/49</t>
        </is>
      </c>
      <c r="Y6" s="2" t="inlineStr">
        <is>
          <t>005-stellingweg.jpg</t>
        </is>
      </c>
      <c r="Z6" s="9" t="inlineStr">
        <is>
          <t>geen code in de kantlijn en geen asfaltsoort in de tekst</t>
        </is>
      </c>
      <c r="AA6" s="9" t="inlineStr"/>
      <c r="AB6" s="2" t="inlineStr">
        <is>
          <t>SOK-AMS-STELLINGWEG</t>
        </is>
      </c>
      <c r="AC6" s="2" t="inlineStr"/>
      <c r="AD6" s="2" t="n">
        <v>1</v>
      </c>
    </row>
    <row r="7">
      <c r="A7" s="2" t="inlineStr">
        <is>
          <t>SOK-AMS-2026-006</t>
        </is>
      </c>
      <c r="B7" s="2" t="inlineStr">
        <is>
          <t>Asfalt – nog in te delen</t>
        </is>
      </c>
      <c r="C7" s="2" t="inlineStr">
        <is>
          <t>Zuideinde</t>
        </is>
      </c>
      <c r="D7" s="2" t="inlineStr">
        <is>
          <t>Oostzanerwerf</t>
        </is>
      </c>
      <c r="E7" s="2" t="inlineStr">
        <is>
          <t>Zuideinde 509 3.80 x 1.40 + 2.40 x 1.30</t>
        </is>
      </c>
      <c r="F7" s="2" t="inlineStr">
        <is>
          <t>3,80 × 1,40 m + 2,40 × 1,30 m  (samen 8,4 m²)</t>
        </is>
      </c>
      <c r="G7" s="2" t="n">
        <v>2</v>
      </c>
      <c r="H7" s="7" t="n">
        <v>6.2</v>
      </c>
      <c r="I7" s="7" t="n">
        <v>1.3</v>
      </c>
      <c r="J7" s="7" t="n">
        <v>8.44</v>
      </c>
      <c r="K7" s="2">
        <f>INDEX(Tarieven!$A$4:$E$7,MATCH($B7,Tarieven!$A$4:$A$7,0),2)</f>
        <v/>
      </c>
      <c r="L7" s="7">
        <f>IF($K7="plek",$G7,IF($K7="m1",$H7,$J7))</f>
        <v/>
      </c>
      <c r="M7" s="8">
        <f>INDEX(Tarieven!$A$4:$E$7,MATCH($B7,Tarieven!$A$4:$A$7,0),3)</f>
        <v/>
      </c>
      <c r="N7" s="8">
        <f>INDEX(Tarieven!$A$4:$E$7,MATCH($B7,Tarieven!$A$4:$A$7,0),4)</f>
        <v/>
      </c>
      <c r="O7" s="8">
        <f>IFERROR($L7*$M7,0)</f>
        <v/>
      </c>
      <c r="P7" s="8">
        <f>IFERROR($L7*$N7,0)</f>
        <v/>
      </c>
      <c r="Q7" s="2" t="inlineStr">
        <is>
          <t>normaal</t>
        </is>
      </c>
      <c r="R7" s="2" t="inlineStr">
        <is>
          <t>2026-06-08</t>
        </is>
      </c>
      <c r="S7" s="2" t="n">
        <v>24</v>
      </c>
      <c r="T7" s="2" t="n">
        <v>52.4167</v>
      </c>
      <c r="U7" s="2" t="n">
        <v>4.89654</v>
      </c>
      <c r="V7" s="2" t="inlineStr">
        <is>
          <t>Zuideinde 503, Amsterdam</t>
        </is>
      </c>
      <c r="W7" s="2" t="inlineStr">
        <is>
          <t>Asfalt Schouw NOORD — 26 augustus 2026</t>
        </is>
      </c>
      <c r="X7" s="2" t="inlineStr">
        <is>
          <t>2/49</t>
        </is>
      </c>
      <c r="Y7" s="2" t="inlineStr">
        <is>
          <t>006-zuideinde.jpg</t>
        </is>
      </c>
      <c r="Z7" s="9" t="inlineStr">
        <is>
          <t>geen code in de kantlijn en geen asfaltsoort in de tekst</t>
        </is>
      </c>
      <c r="AA7" s="9" t="inlineStr"/>
      <c r="AB7" s="2" t="inlineStr">
        <is>
          <t>SOK-AMS-ZUIDEINDE</t>
        </is>
      </c>
      <c r="AC7" s="2" t="inlineStr"/>
      <c r="AD7" s="2" t="n">
        <v>2</v>
      </c>
    </row>
    <row r="8">
      <c r="A8" s="2" t="inlineStr">
        <is>
          <t>SOK-AMS-2026-007</t>
        </is>
      </c>
      <c r="B8" s="2" t="inlineStr">
        <is>
          <t>Hotbox werkzaamheden</t>
        </is>
      </c>
      <c r="C8" s="2" t="inlineStr">
        <is>
          <t>Zuideinde</t>
        </is>
      </c>
      <c r="D8" s="2" t="inlineStr"/>
      <c r="E8" s="2" t="inlineStr">
        <is>
          <t>Zuideinde 491 _ 1.70 x 1.40</t>
        </is>
      </c>
      <c r="F8" s="2" t="inlineStr">
        <is>
          <t>1,70 × 1,40 m  (samen 2,4 m²)</t>
        </is>
      </c>
      <c r="G8" s="2" t="n">
        <v>1</v>
      </c>
      <c r="H8" s="7" t="n">
        <v>1.7</v>
      </c>
      <c r="I8" s="7" t="n">
        <v>1.4</v>
      </c>
      <c r="J8" s="7" t="n">
        <v>2.38</v>
      </c>
      <c r="K8" s="2">
        <f>INDEX(Tarieven!$A$4:$E$7,MATCH($B8,Tarieven!$A$4:$A$7,0),2)</f>
        <v/>
      </c>
      <c r="L8" s="7">
        <f>IF($K8="plek",$G8,IF($K8="m1",$H8,$J8))</f>
        <v/>
      </c>
      <c r="M8" s="8">
        <f>INDEX(Tarieven!$A$4:$E$7,MATCH($B8,Tarieven!$A$4:$A$7,0),3)</f>
        <v/>
      </c>
      <c r="N8" s="8">
        <f>INDEX(Tarieven!$A$4:$E$7,MATCH($B8,Tarieven!$A$4:$A$7,0),4)</f>
        <v/>
      </c>
      <c r="O8" s="8">
        <f>IFERROR($L8*$M8,0)</f>
        <v/>
      </c>
      <c r="P8" s="8">
        <f>IFERROR($L8*$N8,0)</f>
        <v/>
      </c>
      <c r="Q8" s="2" t="inlineStr">
        <is>
          <t>normaal</t>
        </is>
      </c>
      <c r="R8" s="2" t="inlineStr">
        <is>
          <t>2026-06-08</t>
        </is>
      </c>
      <c r="S8" s="2" t="n">
        <v>24</v>
      </c>
      <c r="T8" s="2" t="n">
        <v>52.41731</v>
      </c>
      <c r="U8" s="2" t="n">
        <v>4.89603</v>
      </c>
      <c r="V8" s="2" t="inlineStr">
        <is>
          <t>Zuideinde 489, Amsterdam</t>
        </is>
      </c>
      <c r="W8" s="2" t="inlineStr">
        <is>
          <t>Asfalt Schouw NOORD — 26 augustus 2026</t>
        </is>
      </c>
      <c r="X8" s="2" t="inlineStr">
        <is>
          <t>2/49</t>
        </is>
      </c>
      <c r="Y8" s="2" t="inlineStr">
        <is>
          <t>007-zuideinde.jpg</t>
        </is>
      </c>
      <c r="Z8" s="9" t="inlineStr">
        <is>
          <t>handgeschreven code "HB" in de kantlijn</t>
        </is>
      </c>
      <c r="AA8" s="9" t="inlineStr"/>
      <c r="AB8" s="2" t="inlineStr">
        <is>
          <t>SOK-AMS-ZUIDEINDE</t>
        </is>
      </c>
      <c r="AC8" s="2" t="inlineStr"/>
      <c r="AD8" s="2" t="n">
        <v>1</v>
      </c>
    </row>
    <row r="9">
      <c r="A9" s="2" t="inlineStr">
        <is>
          <t>SOK-AMS-2026-008</t>
        </is>
      </c>
      <c r="B9" s="2" t="inlineStr">
        <is>
          <t>Hotbox werkzaamheden</t>
        </is>
      </c>
      <c r="C9" s="2" t="inlineStr">
        <is>
          <t>Zuideinde</t>
        </is>
      </c>
      <c r="D9" s="2" t="inlineStr"/>
      <c r="E9" s="2" t="inlineStr">
        <is>
          <t>Zuideinde 485 - 1.10 x 1.00</t>
        </is>
      </c>
      <c r="F9" s="2" t="inlineStr">
        <is>
          <t>1,10 × 1,00 m  (samen 1,1 m²)</t>
        </is>
      </c>
      <c r="G9" s="2" t="n">
        <v>1</v>
      </c>
      <c r="H9" s="7" t="n">
        <v>1.1</v>
      </c>
      <c r="I9" s="7" t="n">
        <v>1</v>
      </c>
      <c r="J9" s="7" t="n">
        <v>1.1</v>
      </c>
      <c r="K9" s="2">
        <f>INDEX(Tarieven!$A$4:$E$7,MATCH($B9,Tarieven!$A$4:$A$7,0),2)</f>
        <v/>
      </c>
      <c r="L9" s="7">
        <f>IF($K9="plek",$G9,IF($K9="m1",$H9,$J9))</f>
        <v/>
      </c>
      <c r="M9" s="8">
        <f>INDEX(Tarieven!$A$4:$E$7,MATCH($B9,Tarieven!$A$4:$A$7,0),3)</f>
        <v/>
      </c>
      <c r="N9" s="8">
        <f>INDEX(Tarieven!$A$4:$E$7,MATCH($B9,Tarieven!$A$4:$A$7,0),4)</f>
        <v/>
      </c>
      <c r="O9" s="8">
        <f>IFERROR($L9*$M9,0)</f>
        <v/>
      </c>
      <c r="P9" s="8">
        <f>IFERROR($L9*$N9,0)</f>
        <v/>
      </c>
      <c r="Q9" s="2" t="inlineStr">
        <is>
          <t>normaal</t>
        </is>
      </c>
      <c r="R9" s="2" t="inlineStr">
        <is>
          <t>2026-06-08</t>
        </is>
      </c>
      <c r="S9" s="2" t="n">
        <v>24</v>
      </c>
      <c r="T9" s="2" t="n">
        <v>52.41731</v>
      </c>
      <c r="U9" s="2" t="n">
        <v>4.89603</v>
      </c>
      <c r="V9" s="2" t="inlineStr">
        <is>
          <t>Zuideinde 489, Amsterdam</t>
        </is>
      </c>
      <c r="W9" s="2" t="inlineStr">
        <is>
          <t>Asfalt Schouw NOORD — 26 augustus 2026</t>
        </is>
      </c>
      <c r="X9" s="2" t="inlineStr">
        <is>
          <t>3/49</t>
        </is>
      </c>
      <c r="Y9" s="2" t="inlineStr">
        <is>
          <t>008-zuideinde.jpg</t>
        </is>
      </c>
      <c r="Z9" s="9" t="inlineStr">
        <is>
          <t>handgeschreven code "HB" in de kantlijn</t>
        </is>
      </c>
      <c r="AA9" s="9" t="inlineStr"/>
      <c r="AB9" s="2" t="inlineStr">
        <is>
          <t>SOK-AMS-ZUIDEINDE</t>
        </is>
      </c>
      <c r="AC9" s="2" t="inlineStr"/>
      <c r="AD9" s="2" t="n">
        <v>1</v>
      </c>
    </row>
    <row r="10">
      <c r="A10" s="2" t="inlineStr">
        <is>
          <t>SOK-AMS-2026-009</t>
        </is>
      </c>
      <c r="B10" s="2" t="inlineStr">
        <is>
          <t>Hotbox werkzaamheden</t>
        </is>
      </c>
      <c r="C10" s="2" t="inlineStr">
        <is>
          <t>Zuideinde</t>
        </is>
      </c>
      <c r="D10" s="2" t="inlineStr">
        <is>
          <t>Oostzanerwerf</t>
        </is>
      </c>
      <c r="E10" s="2" t="inlineStr">
        <is>
          <t>Zuideinde 393 - 3.60 x 1.40</t>
        </is>
      </c>
      <c r="F10" s="2" t="inlineStr">
        <is>
          <t>3,60 × 1,40 m  (samen 5,0 m²)</t>
        </is>
      </c>
      <c r="G10" s="2" t="n">
        <v>1</v>
      </c>
      <c r="H10" s="7" t="n">
        <v>3.6</v>
      </c>
      <c r="I10" s="7" t="n">
        <v>1.4</v>
      </c>
      <c r="J10" s="7" t="n">
        <v>5.04</v>
      </c>
      <c r="K10" s="2">
        <f>INDEX(Tarieven!$A$4:$E$7,MATCH($B10,Tarieven!$A$4:$A$7,0),2)</f>
        <v/>
      </c>
      <c r="L10" s="7">
        <f>IF($K10="plek",$G10,IF($K10="m1",$H10,$J10))</f>
        <v/>
      </c>
      <c r="M10" s="8">
        <f>INDEX(Tarieven!$A$4:$E$7,MATCH($B10,Tarieven!$A$4:$A$7,0),3)</f>
        <v/>
      </c>
      <c r="N10" s="8">
        <f>INDEX(Tarieven!$A$4:$E$7,MATCH($B10,Tarieven!$A$4:$A$7,0),4)</f>
        <v/>
      </c>
      <c r="O10" s="8">
        <f>IFERROR($L10*$M10,0)</f>
        <v/>
      </c>
      <c r="P10" s="8">
        <f>IFERROR($L10*$N10,0)</f>
        <v/>
      </c>
      <c r="Q10" s="2" t="inlineStr">
        <is>
          <t>normaal</t>
        </is>
      </c>
      <c r="R10" s="2" t="inlineStr">
        <is>
          <t>2026-06-08</t>
        </is>
      </c>
      <c r="S10" s="2" t="n">
        <v>24</v>
      </c>
      <c r="T10" s="2" t="n">
        <v>52.41737</v>
      </c>
      <c r="U10" s="2" t="n">
        <v>4.89546</v>
      </c>
      <c r="V10" s="2" t="inlineStr">
        <is>
          <t>Zuideinde 412, Amsterdam</t>
        </is>
      </c>
      <c r="W10" s="2" t="inlineStr">
        <is>
          <t>Asfalt Schouw NOORD — 26 augustus 2026</t>
        </is>
      </c>
      <c r="X10" s="2" t="inlineStr">
        <is>
          <t>3/49</t>
        </is>
      </c>
      <c r="Y10" s="2" t="inlineStr">
        <is>
          <t>009-zuideinde.jpg</t>
        </is>
      </c>
      <c r="Z10" s="9" t="inlineStr">
        <is>
          <t>handgeschreven code "HB" in de kantlijn</t>
        </is>
      </c>
      <c r="AA10" s="9" t="inlineStr"/>
      <c r="AB10" s="2" t="inlineStr">
        <is>
          <t>SOK-AMS-ZUIDEINDE</t>
        </is>
      </c>
      <c r="AC10" s="2" t="inlineStr"/>
      <c r="AD10" s="2" t="n">
        <v>1</v>
      </c>
    </row>
    <row r="11">
      <c r="A11" s="2" t="inlineStr">
        <is>
          <t>SOK-AMS-2026-010</t>
        </is>
      </c>
      <c r="B11" s="2" t="inlineStr">
        <is>
          <t>Hotbox werkzaamheden</t>
        </is>
      </c>
      <c r="C11" s="2" t="inlineStr">
        <is>
          <t>Zuideinde</t>
        </is>
      </c>
      <c r="D11" s="2" t="inlineStr">
        <is>
          <t>Oostzanerwerf</t>
        </is>
      </c>
      <c r="E11" s="2" t="inlineStr">
        <is>
          <t>Zuideinde 333 - 1.70 x 1.20</t>
        </is>
      </c>
      <c r="F11" s="2" t="inlineStr">
        <is>
          <t>1,70 × 1,20 m  (samen 2,0 m²)</t>
        </is>
      </c>
      <c r="G11" s="2" t="n">
        <v>1</v>
      </c>
      <c r="H11" s="7" t="n">
        <v>1.7</v>
      </c>
      <c r="I11" s="7" t="n">
        <v>1.2</v>
      </c>
      <c r="J11" s="7" t="n">
        <v>2.04</v>
      </c>
      <c r="K11" s="2">
        <f>INDEX(Tarieven!$A$4:$E$7,MATCH($B11,Tarieven!$A$4:$A$7,0),2)</f>
        <v/>
      </c>
      <c r="L11" s="7">
        <f>IF($K11="plek",$G11,IF($K11="m1",$H11,$J11))</f>
        <v/>
      </c>
      <c r="M11" s="8">
        <f>INDEX(Tarieven!$A$4:$E$7,MATCH($B11,Tarieven!$A$4:$A$7,0),3)</f>
        <v/>
      </c>
      <c r="N11" s="8">
        <f>INDEX(Tarieven!$A$4:$E$7,MATCH($B11,Tarieven!$A$4:$A$7,0),4)</f>
        <v/>
      </c>
      <c r="O11" s="8">
        <f>IFERROR($L11*$M11,0)</f>
        <v/>
      </c>
      <c r="P11" s="8">
        <f>IFERROR($L11*$N11,0)</f>
        <v/>
      </c>
      <c r="Q11" s="2" t="inlineStr">
        <is>
          <t>normaal</t>
        </is>
      </c>
      <c r="R11" s="2" t="inlineStr">
        <is>
          <t>2026-06-08</t>
        </is>
      </c>
      <c r="S11" s="2" t="n">
        <v>24</v>
      </c>
      <c r="T11" s="2" t="n">
        <v>52.42366</v>
      </c>
      <c r="U11" s="2" t="n">
        <v>4.8898</v>
      </c>
      <c r="V11" s="2" t="inlineStr">
        <is>
          <t>Zuideinde 333, Amsterdam</t>
        </is>
      </c>
      <c r="W11" s="2" t="inlineStr">
        <is>
          <t>Asfalt Schouw NOORD — 26 augustus 2026</t>
        </is>
      </c>
      <c r="X11" s="2" t="inlineStr">
        <is>
          <t>3/49</t>
        </is>
      </c>
      <c r="Y11" s="2" t="inlineStr">
        <is>
          <t>010-zuideinde.jpg</t>
        </is>
      </c>
      <c r="Z11" s="9" t="inlineStr">
        <is>
          <t>handgeschreven code "HB" in de kantlijn</t>
        </is>
      </c>
      <c r="AA11" s="9" t="inlineStr"/>
      <c r="AB11" s="2" t="inlineStr">
        <is>
          <t>SOK-AMS-ZUIDEINDE</t>
        </is>
      </c>
      <c r="AC11" s="2" t="inlineStr"/>
      <c r="AD11" s="2" t="n">
        <v>1</v>
      </c>
    </row>
    <row r="12">
      <c r="A12" s="2" t="inlineStr">
        <is>
          <t>SOK-AMS-2026-011</t>
        </is>
      </c>
      <c r="B12" s="2" t="inlineStr">
        <is>
          <t>Hotbox werkzaamheden</t>
        </is>
      </c>
      <c r="C12" s="2" t="inlineStr">
        <is>
          <t>Zuideinde</t>
        </is>
      </c>
      <c r="D12" s="2" t="inlineStr">
        <is>
          <t>Oostzanerwerf</t>
        </is>
      </c>
      <c r="E12" s="2" t="inlineStr">
        <is>
          <t>Zuideinde 355 - 3.70 x 1.40</t>
        </is>
      </c>
      <c r="F12" s="2" t="inlineStr">
        <is>
          <t>3,70 × 1,40 m  (samen 5,2 m²)</t>
        </is>
      </c>
      <c r="G12" s="2" t="n">
        <v>1</v>
      </c>
      <c r="H12" s="7" t="n">
        <v>3.7</v>
      </c>
      <c r="I12" s="7" t="n">
        <v>1.4</v>
      </c>
      <c r="J12" s="7" t="n">
        <v>5.18</v>
      </c>
      <c r="K12" s="2">
        <f>INDEX(Tarieven!$A$4:$E$7,MATCH($B12,Tarieven!$A$4:$A$7,0),2)</f>
        <v/>
      </c>
      <c r="L12" s="7">
        <f>IF($K12="plek",$G12,IF($K12="m1",$H12,$J12))</f>
        <v/>
      </c>
      <c r="M12" s="8">
        <f>INDEX(Tarieven!$A$4:$E$7,MATCH($B12,Tarieven!$A$4:$A$7,0),3)</f>
        <v/>
      </c>
      <c r="N12" s="8">
        <f>INDEX(Tarieven!$A$4:$E$7,MATCH($B12,Tarieven!$A$4:$A$7,0),4)</f>
        <v/>
      </c>
      <c r="O12" s="8">
        <f>IFERROR($L12*$M12,0)</f>
        <v/>
      </c>
      <c r="P12" s="8">
        <f>IFERROR($L12*$N12,0)</f>
        <v/>
      </c>
      <c r="Q12" s="2" t="inlineStr">
        <is>
          <t>normaal</t>
        </is>
      </c>
      <c r="R12" s="2" t="inlineStr">
        <is>
          <t>2026-06-08</t>
        </is>
      </c>
      <c r="S12" s="2" t="n">
        <v>24</v>
      </c>
      <c r="T12" s="2" t="n">
        <v>52.42348</v>
      </c>
      <c r="U12" s="2" t="n">
        <v>4.88993</v>
      </c>
      <c r="V12" s="2" t="inlineStr">
        <is>
          <t>Zuideinde 339, Amsterdam</t>
        </is>
      </c>
      <c r="W12" s="2" t="inlineStr">
        <is>
          <t>Asfalt Schouw NOORD — 26 augustus 2026</t>
        </is>
      </c>
      <c r="X12" s="2" t="inlineStr">
        <is>
          <t>4/49</t>
        </is>
      </c>
      <c r="Y12" s="2" t="inlineStr">
        <is>
          <t>011-zuideinde.jpg</t>
        </is>
      </c>
      <c r="Z12" s="9" t="inlineStr">
        <is>
          <t>handgeschreven code "HB" in de kantlijn</t>
        </is>
      </c>
      <c r="AA12" s="9" t="inlineStr"/>
      <c r="AB12" s="2" t="inlineStr">
        <is>
          <t>SOK-AMS-ZUIDEINDE</t>
        </is>
      </c>
      <c r="AC12" s="2" t="inlineStr"/>
      <c r="AD12" s="2" t="n">
        <v>1</v>
      </c>
    </row>
    <row r="13">
      <c r="A13" s="2" t="inlineStr">
        <is>
          <t>SOK-AMS-2026-012</t>
        </is>
      </c>
      <c r="B13" s="2" t="inlineStr">
        <is>
          <t>Hotbox werkzaamheden</t>
        </is>
      </c>
      <c r="C13" s="2" t="inlineStr">
        <is>
          <t>Cornelis Roosstraat</t>
        </is>
      </c>
      <c r="D13" s="2" t="inlineStr">
        <is>
          <t>Oostzanerwerf</t>
        </is>
      </c>
      <c r="E13" s="2" t="inlineStr">
        <is>
          <t>C.roosstr 5 - 5.00 x 0.50</t>
        </is>
      </c>
      <c r="F13" s="2" t="inlineStr">
        <is>
          <t>5,00 × 0,50 m  (samen 2,5 m²)</t>
        </is>
      </c>
      <c r="G13" s="2" t="n">
        <v>1</v>
      </c>
      <c r="H13" s="7" t="n">
        <v>5</v>
      </c>
      <c r="I13" s="7" t="n">
        <v>0.5</v>
      </c>
      <c r="J13" s="7" t="n">
        <v>2.5</v>
      </c>
      <c r="K13" s="2">
        <f>INDEX(Tarieven!$A$4:$E$7,MATCH($B13,Tarieven!$A$4:$A$7,0),2)</f>
        <v/>
      </c>
      <c r="L13" s="7">
        <f>IF($K13="plek",$G13,IF($K13="m1",$H13,$J13))</f>
        <v/>
      </c>
      <c r="M13" s="8">
        <f>INDEX(Tarieven!$A$4:$E$7,MATCH($B13,Tarieven!$A$4:$A$7,0),3)</f>
        <v/>
      </c>
      <c r="N13" s="8">
        <f>INDEX(Tarieven!$A$4:$E$7,MATCH($B13,Tarieven!$A$4:$A$7,0),4)</f>
        <v/>
      </c>
      <c r="O13" s="8">
        <f>IFERROR($L13*$M13,0)</f>
        <v/>
      </c>
      <c r="P13" s="8">
        <f>IFERROR($L13*$N13,0)</f>
        <v/>
      </c>
      <c r="Q13" s="2" t="inlineStr">
        <is>
          <t>normaal</t>
        </is>
      </c>
      <c r="R13" s="2" t="inlineStr">
        <is>
          <t>2026-06-08</t>
        </is>
      </c>
      <c r="S13" s="2" t="n">
        <v>24</v>
      </c>
      <c r="T13" s="2" t="n">
        <v>52.41911</v>
      </c>
      <c r="U13" s="2" t="n">
        <v>4.8963</v>
      </c>
      <c r="V13" s="2" t="inlineStr">
        <is>
          <t>Cornelis Roosstraat 2, Amsterdam</t>
        </is>
      </c>
      <c r="W13" s="2" t="inlineStr">
        <is>
          <t>Asfalt Schouw NOORD — 26 augustus 2026</t>
        </is>
      </c>
      <c r="X13" s="2" t="inlineStr">
        <is>
          <t>4/49</t>
        </is>
      </c>
      <c r="Y13" s="2" t="inlineStr">
        <is>
          <t>012-cornelisroosstraat.jpg</t>
        </is>
      </c>
      <c r="Z13" s="9" t="inlineStr">
        <is>
          <t>handgeschreven code "HB" in de kantlijn</t>
        </is>
      </c>
      <c r="AA13" s="9" t="inlineStr"/>
      <c r="AB13" s="2" t="inlineStr">
        <is>
          <t>SOK-AMS-CORNELIS-ROOSSTRAAT</t>
        </is>
      </c>
      <c r="AC13" s="2" t="inlineStr"/>
      <c r="AD13" s="2" t="n">
        <v>1</v>
      </c>
    </row>
    <row r="14">
      <c r="A14" s="2" t="inlineStr">
        <is>
          <t>SOK-AMS-2026-013</t>
        </is>
      </c>
      <c r="B14" s="2" t="inlineStr">
        <is>
          <t>Asfalt – nog in te delen</t>
        </is>
      </c>
      <c r="C14" s="2" t="inlineStr">
        <is>
          <t>Cornelis Roosstraat</t>
        </is>
      </c>
      <c r="D14" s="2" t="inlineStr">
        <is>
          <t>Oostzanerwerf</t>
        </is>
      </c>
      <c r="E14" s="2" t="inlineStr">
        <is>
          <t>C.roosstr t/o 25 - 3.00 x 1.10</t>
        </is>
      </c>
      <c r="F14" s="2" t="inlineStr">
        <is>
          <t>3,00 × 1,10 m  (samen 3,3 m²)</t>
        </is>
      </c>
      <c r="G14" s="2" t="n">
        <v>1</v>
      </c>
      <c r="H14" s="7" t="n">
        <v>3</v>
      </c>
      <c r="I14" s="7" t="n">
        <v>1.1</v>
      </c>
      <c r="J14" s="7" t="n">
        <v>3.3</v>
      </c>
      <c r="K14" s="2">
        <f>INDEX(Tarieven!$A$4:$E$7,MATCH($B14,Tarieven!$A$4:$A$7,0),2)</f>
        <v/>
      </c>
      <c r="L14" s="7">
        <f>IF($K14="plek",$G14,IF($K14="m1",$H14,$J14))</f>
        <v/>
      </c>
      <c r="M14" s="8">
        <f>INDEX(Tarieven!$A$4:$E$7,MATCH($B14,Tarieven!$A$4:$A$7,0),3)</f>
        <v/>
      </c>
      <c r="N14" s="8">
        <f>INDEX(Tarieven!$A$4:$E$7,MATCH($B14,Tarieven!$A$4:$A$7,0),4)</f>
        <v/>
      </c>
      <c r="O14" s="8">
        <f>IFERROR($L14*$M14,0)</f>
        <v/>
      </c>
      <c r="P14" s="8">
        <f>IFERROR($L14*$N14,0)</f>
        <v/>
      </c>
      <c r="Q14" s="2" t="inlineStr">
        <is>
          <t>normaal</t>
        </is>
      </c>
      <c r="R14" s="2" t="inlineStr">
        <is>
          <t>2026-06-08</t>
        </is>
      </c>
      <c r="S14" s="2" t="n">
        <v>24</v>
      </c>
      <c r="T14" s="2" t="n">
        <v>52.41867</v>
      </c>
      <c r="U14" s="2" t="n">
        <v>4.89694</v>
      </c>
      <c r="V14" s="2" t="inlineStr">
        <is>
          <t>Cornelis Roosstraat 23, Amsterdam</t>
        </is>
      </c>
      <c r="W14" s="2" t="inlineStr">
        <is>
          <t>Asfalt Schouw NOORD — 26 augustus 2026</t>
        </is>
      </c>
      <c r="X14" s="2" t="inlineStr">
        <is>
          <t>4/49</t>
        </is>
      </c>
      <c r="Y14" s="2" t="inlineStr">
        <is>
          <t>013-cornelisroosstraat.jpg</t>
        </is>
      </c>
      <c r="Z14" s="9" t="inlineStr">
        <is>
          <t>geen code in de kantlijn en geen asfaltsoort in de tekst</t>
        </is>
      </c>
      <c r="AA14" s="9" t="inlineStr"/>
      <c r="AB14" s="2" t="inlineStr">
        <is>
          <t>SOK-AMS-CORNELIS-ROOSSTRAAT</t>
        </is>
      </c>
      <c r="AC14" s="2" t="inlineStr"/>
      <c r="AD14" s="2" t="n">
        <v>1</v>
      </c>
    </row>
    <row r="15">
      <c r="A15" s="2" t="inlineStr">
        <is>
          <t>SOK-AMS-2026-014</t>
        </is>
      </c>
      <c r="B15" s="2" t="inlineStr">
        <is>
          <t>Asfalt – nog in te delen</t>
        </is>
      </c>
      <c r="C15" s="2" t="inlineStr">
        <is>
          <t>Cornelis Roosstraat</t>
        </is>
      </c>
      <c r="D15" s="2" t="inlineStr">
        <is>
          <t>Oostzanerwerf</t>
        </is>
      </c>
      <c r="E15" s="2" t="inlineStr">
        <is>
          <t>C.roosstr t.h.v. 27 _ 11.00 x 0.40</t>
        </is>
      </c>
      <c r="F15" s="2" t="inlineStr">
        <is>
          <t>11,00 × 0,40 m  (samen 4,4 m²)</t>
        </is>
      </c>
      <c r="G15" s="2" t="n">
        <v>1</v>
      </c>
      <c r="H15" s="7" t="n">
        <v>11</v>
      </c>
      <c r="I15" s="7" t="n">
        <v>0.4</v>
      </c>
      <c r="J15" s="7" t="n">
        <v>4.4</v>
      </c>
      <c r="K15" s="2">
        <f>INDEX(Tarieven!$A$4:$E$7,MATCH($B15,Tarieven!$A$4:$A$7,0),2)</f>
        <v/>
      </c>
      <c r="L15" s="7">
        <f>IF($K15="plek",$G15,IF($K15="m1",$H15,$J15))</f>
        <v/>
      </c>
      <c r="M15" s="8">
        <f>INDEX(Tarieven!$A$4:$E$7,MATCH($B15,Tarieven!$A$4:$A$7,0),3)</f>
        <v/>
      </c>
      <c r="N15" s="8">
        <f>INDEX(Tarieven!$A$4:$E$7,MATCH($B15,Tarieven!$A$4:$A$7,0),4)</f>
        <v/>
      </c>
      <c r="O15" s="8">
        <f>IFERROR($L15*$M15,0)</f>
        <v/>
      </c>
      <c r="P15" s="8">
        <f>IFERROR($L15*$N15,0)</f>
        <v/>
      </c>
      <c r="Q15" s="2" t="inlineStr">
        <is>
          <t>normaal</t>
        </is>
      </c>
      <c r="R15" s="2" t="inlineStr">
        <is>
          <t>2026-06-08</t>
        </is>
      </c>
      <c r="S15" s="2" t="n">
        <v>24</v>
      </c>
      <c r="T15" s="2" t="n">
        <v>52.4183</v>
      </c>
      <c r="U15" s="2" t="n">
        <v>4.89678</v>
      </c>
      <c r="V15" s="2" t="inlineStr">
        <is>
          <t>Cornelis Roosstraat 27, Amsterdam</t>
        </is>
      </c>
      <c r="W15" s="2" t="inlineStr">
        <is>
          <t>Asfalt Schouw NOORD — 26 augustus 2026</t>
        </is>
      </c>
      <c r="X15" s="2" t="inlineStr">
        <is>
          <t>5/49</t>
        </is>
      </c>
      <c r="Y15" s="2" t="inlineStr">
        <is>
          <t>014-cornelisroosstraat.jpg</t>
        </is>
      </c>
      <c r="Z15" s="9" t="inlineStr">
        <is>
          <t>geen code in de kantlijn en geen asfaltsoort in de tekst</t>
        </is>
      </c>
      <c r="AA15" s="9" t="inlineStr"/>
      <c r="AB15" s="2" t="inlineStr">
        <is>
          <t>SOK-AMS-CORNELIS-ROOSSTRAAT</t>
        </is>
      </c>
      <c r="AC15" s="2" t="inlineStr"/>
      <c r="AD15" s="2" t="n">
        <v>1</v>
      </c>
    </row>
    <row r="16">
      <c r="A16" s="2" t="inlineStr">
        <is>
          <t>SOK-AMS-2026-015</t>
        </is>
      </c>
      <c r="B16" s="2" t="inlineStr">
        <is>
          <t>Asfalt – nog in te delen</t>
        </is>
      </c>
      <c r="C16" s="2" t="inlineStr">
        <is>
          <t>Cornelis Roosstraat</t>
        </is>
      </c>
      <c r="D16" s="2" t="inlineStr">
        <is>
          <t>Oostzanerwerf</t>
        </is>
      </c>
      <c r="E16" s="2" t="inlineStr">
        <is>
          <t>C.roosstr t.h.v. oplaadpunt 5.00x 0.40</t>
        </is>
      </c>
      <c r="F16" s="2" t="inlineStr">
        <is>
          <t>5,00 × 0,40 m  (samen 2,0 m²)</t>
        </is>
      </c>
      <c r="G16" s="2" t="n">
        <v>1</v>
      </c>
      <c r="H16" s="7" t="n">
        <v>5</v>
      </c>
      <c r="I16" s="7" t="n">
        <v>0.4</v>
      </c>
      <c r="J16" s="7" t="n">
        <v>2</v>
      </c>
      <c r="K16" s="2">
        <f>INDEX(Tarieven!$A$4:$E$7,MATCH($B16,Tarieven!$A$4:$A$7,0),2)</f>
        <v/>
      </c>
      <c r="L16" s="7">
        <f>IF($K16="plek",$G16,IF($K16="m1",$H16,$J16))</f>
        <v/>
      </c>
      <c r="M16" s="8">
        <f>INDEX(Tarieven!$A$4:$E$7,MATCH($B16,Tarieven!$A$4:$A$7,0),3)</f>
        <v/>
      </c>
      <c r="N16" s="8">
        <f>INDEX(Tarieven!$A$4:$E$7,MATCH($B16,Tarieven!$A$4:$A$7,0),4)</f>
        <v/>
      </c>
      <c r="O16" s="8">
        <f>IFERROR($L16*$M16,0)</f>
        <v/>
      </c>
      <c r="P16" s="8">
        <f>IFERROR($L16*$N16,0)</f>
        <v/>
      </c>
      <c r="Q16" s="2" t="inlineStr">
        <is>
          <t>normaal</t>
        </is>
      </c>
      <c r="R16" s="2" t="inlineStr">
        <is>
          <t>2026-06-08</t>
        </is>
      </c>
      <c r="S16" s="2" t="n">
        <v>24</v>
      </c>
      <c r="T16" s="2" t="n">
        <v>52.4183</v>
      </c>
      <c r="U16" s="2" t="n">
        <v>4.89678</v>
      </c>
      <c r="V16" s="2" t="inlineStr">
        <is>
          <t>Cornelis Roosstraat 27, Amsterdam</t>
        </is>
      </c>
      <c r="W16" s="2" t="inlineStr">
        <is>
          <t>Asfalt Schouw NOORD — 26 augustus 2026</t>
        </is>
      </c>
      <c r="X16" s="2" t="inlineStr">
        <is>
          <t>5/49</t>
        </is>
      </c>
      <c r="Y16" s="2" t="inlineStr">
        <is>
          <t>015-cornelisroosstraat.jpg</t>
        </is>
      </c>
      <c r="Z16" s="9" t="inlineStr">
        <is>
          <t>geen code in de kantlijn en geen asfaltsoort in de tekst</t>
        </is>
      </c>
      <c r="AA16" s="9" t="inlineStr"/>
      <c r="AB16" s="2" t="inlineStr">
        <is>
          <t>SOK-AMS-CORNELIS-ROOSSTRAAT</t>
        </is>
      </c>
      <c r="AC16" s="2" t="inlineStr"/>
      <c r="AD16" s="2" t="n">
        <v>1</v>
      </c>
    </row>
    <row r="17">
      <c r="A17" s="2" t="inlineStr">
        <is>
          <t>SOK-AMS-2026-016</t>
        </is>
      </c>
      <c r="B17" s="2" t="inlineStr">
        <is>
          <t>Hotbox werkzaamheden</t>
        </is>
      </c>
      <c r="C17" s="2" t="inlineStr">
        <is>
          <t>Molenwijk</t>
        </is>
      </c>
      <c r="D17" s="2" t="inlineStr">
        <is>
          <t>Oostzanerwerf</t>
        </is>
      </c>
      <c r="E17" s="2" t="inlineStr">
        <is>
          <t>2.60 x 1.80 + 9.00 x 1.80 parkeerplaats molenwijk</t>
        </is>
      </c>
      <c r="F17" s="2" t="inlineStr">
        <is>
          <t>2,60 × 1,80 m + 9,00 × 1,80 m  (samen 20,9 m²)</t>
        </is>
      </c>
      <c r="G17" s="2" t="n">
        <v>2</v>
      </c>
      <c r="H17" s="7" t="n">
        <v>11.6</v>
      </c>
      <c r="I17" s="7" t="n">
        <v>1.8</v>
      </c>
      <c r="J17" s="7" t="n">
        <v>20.88</v>
      </c>
      <c r="K17" s="2">
        <f>INDEX(Tarieven!$A$4:$E$7,MATCH($B17,Tarieven!$A$4:$A$7,0),2)</f>
        <v/>
      </c>
      <c r="L17" s="7">
        <f>IF($K17="plek",$G17,IF($K17="m1",$H17,$J17))</f>
        <v/>
      </c>
      <c r="M17" s="8">
        <f>INDEX(Tarieven!$A$4:$E$7,MATCH($B17,Tarieven!$A$4:$A$7,0),3)</f>
        <v/>
      </c>
      <c r="N17" s="8">
        <f>INDEX(Tarieven!$A$4:$E$7,MATCH($B17,Tarieven!$A$4:$A$7,0),4)</f>
        <v/>
      </c>
      <c r="O17" s="8">
        <f>IFERROR($L17*$M17,0)</f>
        <v/>
      </c>
      <c r="P17" s="8">
        <f>IFERROR($L17*$N17,0)</f>
        <v/>
      </c>
      <c r="Q17" s="2" t="inlineStr">
        <is>
          <t>normaal</t>
        </is>
      </c>
      <c r="R17" s="2" t="inlineStr">
        <is>
          <t>2026-06-08</t>
        </is>
      </c>
      <c r="S17" s="2" t="n">
        <v>24</v>
      </c>
      <c r="T17" s="2" t="n">
        <v>52.41797</v>
      </c>
      <c r="U17" s="2" t="n">
        <v>4.89378</v>
      </c>
      <c r="V17" s="2" t="inlineStr">
        <is>
          <t>Amsterdam</t>
        </is>
      </c>
      <c r="W17" s="2" t="inlineStr">
        <is>
          <t>Asfalt Schouw NOORD — 26 augustus 2026</t>
        </is>
      </c>
      <c r="X17" s="2" t="inlineStr">
        <is>
          <t>5/49</t>
        </is>
      </c>
      <c r="Y17" s="2" t="inlineStr">
        <is>
          <t>016-molenwijk.jpg</t>
        </is>
      </c>
      <c r="Z17" s="9" t="inlineStr">
        <is>
          <t>handgeschreven code "HB" in de kantlijn</t>
        </is>
      </c>
      <c r="AA17" s="9" t="inlineStr"/>
      <c r="AB17" s="2" t="inlineStr">
        <is>
          <t>SOK-AMS-MOLENWIJK</t>
        </is>
      </c>
      <c r="AC17" s="2" t="inlineStr"/>
      <c r="AD17" s="2" t="n">
        <v>2</v>
      </c>
    </row>
    <row r="18">
      <c r="A18" s="2" t="inlineStr">
        <is>
          <t>SOK-AMS-2026-017</t>
        </is>
      </c>
      <c r="B18" s="2" t="inlineStr">
        <is>
          <t>Asfalt machinaal</t>
        </is>
      </c>
      <c r="C18" s="2" t="inlineStr">
        <is>
          <t>Sportpark Oostzanerwerf</t>
        </is>
      </c>
      <c r="D18" s="2" t="inlineStr">
        <is>
          <t>Asfalt Schades Heel Noord</t>
        </is>
      </c>
      <c r="E18" s="2" t="inlineStr">
        <is>
          <t>50.00 x 3.00 verzakt en scheuren. Dit gedeelte maakt deel uit van een dijk</t>
        </is>
      </c>
      <c r="F18" s="2" t="inlineStr">
        <is>
          <t>50,00 × 3,00 m  (samen 150,0 m²)</t>
        </is>
      </c>
      <c r="G18" s="2" t="n">
        <v>1</v>
      </c>
      <c r="H18" s="7" t="n">
        <v>50</v>
      </c>
      <c r="I18" s="7" t="n">
        <v>3</v>
      </c>
      <c r="J18" s="7" t="n">
        <v>150</v>
      </c>
      <c r="K18" s="2">
        <f>INDEX(Tarieven!$A$4:$E$7,MATCH($B18,Tarieven!$A$4:$A$7,0),2)</f>
        <v/>
      </c>
      <c r="L18" s="7">
        <f>IF($K18="plek",$G18,IF($K18="m1",$H18,$J18))</f>
        <v/>
      </c>
      <c r="M18" s="8">
        <f>INDEX(Tarieven!$A$4:$E$7,MATCH($B18,Tarieven!$A$4:$A$7,0),3)</f>
        <v/>
      </c>
      <c r="N18" s="8">
        <f>INDEX(Tarieven!$A$4:$E$7,MATCH($B18,Tarieven!$A$4:$A$7,0),4)</f>
        <v/>
      </c>
      <c r="O18" s="8">
        <f>IFERROR($L18*$M18,0)</f>
        <v/>
      </c>
      <c r="P18" s="8">
        <f>IFERROR($L18*$N18,0)</f>
        <v/>
      </c>
      <c r="Q18" s="2" t="inlineStr">
        <is>
          <t>normaal</t>
        </is>
      </c>
      <c r="R18" s="2" t="inlineStr">
        <is>
          <t>2026-06-09</t>
        </is>
      </c>
      <c r="S18" s="2" t="n">
        <v>24</v>
      </c>
      <c r="T18" s="2" t="n">
        <v>52.42157</v>
      </c>
      <c r="U18" s="2" t="n">
        <v>4.87895</v>
      </c>
      <c r="V18" s="2" t="inlineStr">
        <is>
          <t>Sportpark Oostzanerwerf 4, Amsterdam</t>
        </is>
      </c>
      <c r="W18" s="2" t="inlineStr">
        <is>
          <t>Asfalt Schouw NOORD — 26 augustus 2026</t>
        </is>
      </c>
      <c r="X18" s="2" t="inlineStr">
        <is>
          <t>6/49</t>
        </is>
      </c>
      <c r="Y18" s="2" t="inlineStr">
        <is>
          <t>017-sportparkoostzanerwerf.jpg</t>
        </is>
      </c>
      <c r="Z18" s="9" t="inlineStr">
        <is>
          <t>handgeschreven code "AS" in de kantlijn</t>
        </is>
      </c>
      <c r="AA18" s="9" t="inlineStr"/>
      <c r="AB18" s="2" t="inlineStr">
        <is>
          <t>SOK-AMS-SPORTPARK-OOSTZANERWERF</t>
        </is>
      </c>
      <c r="AC18" s="2" t="inlineStr"/>
      <c r="AD18" s="2" t="n">
        <v>2</v>
      </c>
    </row>
    <row r="19">
      <c r="A19" s="2" t="inlineStr">
        <is>
          <t>SOK-AMS-2026-018</t>
        </is>
      </c>
      <c r="B19" s="2" t="inlineStr">
        <is>
          <t>Asfalt machinaal</t>
        </is>
      </c>
      <c r="C19" s="2" t="inlineStr">
        <is>
          <t>Oostzanerdijk</t>
        </is>
      </c>
      <c r="D19" s="2" t="inlineStr">
        <is>
          <t>Asfalt Schades Heel Noord</t>
        </is>
      </c>
      <c r="E19" s="2" t="inlineStr">
        <is>
          <t>6.00 x 3.00 Oostzanerdijk / molenaarsweg</t>
        </is>
      </c>
      <c r="F19" s="2" t="inlineStr">
        <is>
          <t>6,00 × 3,00 m  (samen 18,0 m²)</t>
        </is>
      </c>
      <c r="G19" s="2" t="n">
        <v>1</v>
      </c>
      <c r="H19" s="7" t="n">
        <v>6</v>
      </c>
      <c r="I19" s="7" t="n">
        <v>3</v>
      </c>
      <c r="J19" s="7" t="n">
        <v>18</v>
      </c>
      <c r="K19" s="2">
        <f>INDEX(Tarieven!$A$4:$E$7,MATCH($B19,Tarieven!$A$4:$A$7,0),2)</f>
        <v/>
      </c>
      <c r="L19" s="7">
        <f>IF($K19="plek",$G19,IF($K19="m1",$H19,$J19))</f>
        <v/>
      </c>
      <c r="M19" s="8">
        <f>INDEX(Tarieven!$A$4:$E$7,MATCH($B19,Tarieven!$A$4:$A$7,0),3)</f>
        <v/>
      </c>
      <c r="N19" s="8">
        <f>INDEX(Tarieven!$A$4:$E$7,MATCH($B19,Tarieven!$A$4:$A$7,0),4)</f>
        <v/>
      </c>
      <c r="O19" s="8">
        <f>IFERROR($L19*$M19,0)</f>
        <v/>
      </c>
      <c r="P19" s="8">
        <f>IFERROR($L19*$N19,0)</f>
        <v/>
      </c>
      <c r="Q19" s="2" t="inlineStr">
        <is>
          <t>normaal</t>
        </is>
      </c>
      <c r="R19" s="2" t="inlineStr">
        <is>
          <t>2026-06-09</t>
        </is>
      </c>
      <c r="S19" s="2" t="n">
        <v>24</v>
      </c>
      <c r="T19" s="2" t="n">
        <v>52.4205</v>
      </c>
      <c r="U19" s="2" t="n">
        <v>4.87857</v>
      </c>
      <c r="V19" s="2" t="inlineStr">
        <is>
          <t>Oostzanerdijk 139, Amsterdam</t>
        </is>
      </c>
      <c r="W19" s="2" t="inlineStr">
        <is>
          <t>Asfalt Schouw NOORD — 26 augustus 2026</t>
        </is>
      </c>
      <c r="X19" s="2" t="inlineStr">
        <is>
          <t>6/49</t>
        </is>
      </c>
      <c r="Y19" s="2" t="inlineStr">
        <is>
          <t>018-oostzanerdijk.jpg</t>
        </is>
      </c>
      <c r="Z19" s="9" t="inlineStr">
        <is>
          <t>handgeschreven code "AS" in de kantlijn</t>
        </is>
      </c>
      <c r="AA19" s="9" t="inlineStr"/>
      <c r="AB19" s="2" t="inlineStr">
        <is>
          <t>SOK-AMS-OOSTZANERDIJK</t>
        </is>
      </c>
      <c r="AC19" s="2" t="inlineStr"/>
      <c r="AD19" s="2" t="n">
        <v>1</v>
      </c>
    </row>
    <row r="20">
      <c r="A20" s="2" t="inlineStr">
        <is>
          <t>SOK-AMS-2026-019</t>
        </is>
      </c>
      <c r="B20" s="2" t="inlineStr">
        <is>
          <t>Hotbox werkzaamheden</t>
        </is>
      </c>
      <c r="C20" s="2" t="inlineStr">
        <is>
          <t>Molenaarsweg</t>
        </is>
      </c>
      <c r="D20" s="2" t="inlineStr">
        <is>
          <t>Asfalt Schades Heel Noord</t>
        </is>
      </c>
      <c r="E20" s="2" t="inlineStr">
        <is>
          <t>Molenaarsweg / oostzanerwerf 2x 2.00 x 0.50</t>
        </is>
      </c>
      <c r="F20" s="2" t="inlineStr">
        <is>
          <t>2× 2,00 × 0,50 m  (samen 2,0 m²)</t>
        </is>
      </c>
      <c r="G20" s="2" t="n">
        <v>2</v>
      </c>
      <c r="H20" s="7" t="n">
        <v>4</v>
      </c>
      <c r="I20" s="7" t="n">
        <v>0.5</v>
      </c>
      <c r="J20" s="7" t="n">
        <v>2</v>
      </c>
      <c r="K20" s="2">
        <f>INDEX(Tarieven!$A$4:$E$7,MATCH($B20,Tarieven!$A$4:$A$7,0),2)</f>
        <v/>
      </c>
      <c r="L20" s="7">
        <f>IF($K20="plek",$G20,IF($K20="m1",$H20,$J20))</f>
        <v/>
      </c>
      <c r="M20" s="8">
        <f>INDEX(Tarieven!$A$4:$E$7,MATCH($B20,Tarieven!$A$4:$A$7,0),3)</f>
        <v/>
      </c>
      <c r="N20" s="8">
        <f>INDEX(Tarieven!$A$4:$E$7,MATCH($B20,Tarieven!$A$4:$A$7,0),4)</f>
        <v/>
      </c>
      <c r="O20" s="8">
        <f>IFERROR($L20*$M20,0)</f>
        <v/>
      </c>
      <c r="P20" s="8">
        <f>IFERROR($L20*$N20,0)</f>
        <v/>
      </c>
      <c r="Q20" s="2" t="inlineStr">
        <is>
          <t>normaal</t>
        </is>
      </c>
      <c r="R20" s="2" t="inlineStr">
        <is>
          <t>2026-06-09</t>
        </is>
      </c>
      <c r="S20" s="2" t="n">
        <v>24</v>
      </c>
      <c r="T20" s="2" t="n">
        <v>52.42115</v>
      </c>
      <c r="U20" s="2" t="n">
        <v>4.88785</v>
      </c>
      <c r="V20" s="2" t="inlineStr">
        <is>
          <t>Grondzeiler 1, Amsterdam</t>
        </is>
      </c>
      <c r="W20" s="2" t="inlineStr">
        <is>
          <t>Asfalt Schouw NOORD — 26 augustus 2026</t>
        </is>
      </c>
      <c r="X20" s="2" t="inlineStr">
        <is>
          <t>7/49</t>
        </is>
      </c>
      <c r="Y20" s="2" t="inlineStr">
        <is>
          <t>019-molenaarsweg.jpg</t>
        </is>
      </c>
      <c r="Z20" s="9" t="inlineStr">
        <is>
          <t>handgeschreven code "HB" in de kantlijn</t>
        </is>
      </c>
      <c r="AA20" s="9" t="inlineStr"/>
      <c r="AB20" s="2" t="inlineStr">
        <is>
          <t>SOK-AMS-MOLENAARSWEG</t>
        </is>
      </c>
      <c r="AC20" s="2" t="inlineStr"/>
      <c r="AD20" s="2" t="n">
        <v>1</v>
      </c>
    </row>
    <row r="21">
      <c r="A21" s="2" t="inlineStr">
        <is>
          <t>SOK-AMS-2026-020</t>
        </is>
      </c>
      <c r="B21" s="2" t="inlineStr">
        <is>
          <t>Asfalt – nog in te delen</t>
        </is>
      </c>
      <c r="C21" s="2" t="inlineStr">
        <is>
          <t>Molenaarsweg</t>
        </is>
      </c>
      <c r="D21" s="2" t="inlineStr">
        <is>
          <t>Asfalt Schades Heel Noord</t>
        </is>
      </c>
      <c r="E21" s="2" t="inlineStr">
        <is>
          <t>15.00 x 0.50 scheuren. 3.00 x 0.50 gevaarlijk gat Molenaarsweg. Voor de bocht Zuideinde</t>
        </is>
      </c>
      <c r="F21" s="2" t="inlineStr">
        <is>
          <t>15,00 × 0,50 m + 3,00 × 0,50 m  (samen 9,0 m²)</t>
        </is>
      </c>
      <c r="G21" s="2" t="n">
        <v>2</v>
      </c>
      <c r="H21" s="7" t="n">
        <v>18</v>
      </c>
      <c r="I21" s="7" t="n">
        <v>0.5</v>
      </c>
      <c r="J21" s="7" t="n">
        <v>9</v>
      </c>
      <c r="K21" s="2">
        <f>INDEX(Tarieven!$A$4:$E$7,MATCH($B21,Tarieven!$A$4:$A$7,0),2)</f>
        <v/>
      </c>
      <c r="L21" s="7">
        <f>IF($K21="plek",$G21,IF($K21="m1",$H21,$J21))</f>
        <v/>
      </c>
      <c r="M21" s="8">
        <f>INDEX(Tarieven!$A$4:$E$7,MATCH($B21,Tarieven!$A$4:$A$7,0),3)</f>
        <v/>
      </c>
      <c r="N21" s="8">
        <f>INDEX(Tarieven!$A$4:$E$7,MATCH($B21,Tarieven!$A$4:$A$7,0),4)</f>
        <v/>
      </c>
      <c r="O21" s="8">
        <f>IFERROR($L21*$M21,0)</f>
        <v/>
      </c>
      <c r="P21" s="8">
        <f>IFERROR($L21*$N21,0)</f>
        <v/>
      </c>
      <c r="Q21" s="2" t="inlineStr">
        <is>
          <t>normaal</t>
        </is>
      </c>
      <c r="R21" s="2" t="inlineStr">
        <is>
          <t>2026-06-09</t>
        </is>
      </c>
      <c r="S21" s="2" t="n">
        <v>24</v>
      </c>
      <c r="T21" s="2" t="n">
        <v>52.42203</v>
      </c>
      <c r="U21" s="2" t="n">
        <v>4.88909</v>
      </c>
      <c r="V21" s="2" t="inlineStr">
        <is>
          <t>Tuimelaarstraat 3, Amsterdam</t>
        </is>
      </c>
      <c r="W21" s="2" t="inlineStr">
        <is>
          <t>Asfalt Schouw NOORD — 26 augustus 2026</t>
        </is>
      </c>
      <c r="X21" s="2" t="inlineStr">
        <is>
          <t>7/49</t>
        </is>
      </c>
      <c r="Y21" s="2" t="inlineStr">
        <is>
          <t>020-molenaarsweg.jpg</t>
        </is>
      </c>
      <c r="Z21" s="9" t="inlineStr">
        <is>
          <t>in het rapport groen doorgestreept — werksoort onduidelijk</t>
        </is>
      </c>
      <c r="AA21" s="9" t="inlineStr"/>
      <c r="AB21" s="2" t="inlineStr">
        <is>
          <t>SOK-AMS-MOLENAARSWEG</t>
        </is>
      </c>
      <c r="AC21" s="2" t="inlineStr"/>
      <c r="AD21" s="2" t="n">
        <v>2</v>
      </c>
    </row>
    <row r="22">
      <c r="A22" s="2" t="inlineStr">
        <is>
          <t>SOK-AMS-2026-021</t>
        </is>
      </c>
      <c r="B22" s="2" t="inlineStr">
        <is>
          <t>Asfalt – nog in te delen</t>
        </is>
      </c>
      <c r="C22" s="2" t="inlineStr">
        <is>
          <t>Molenaarsweg</t>
        </is>
      </c>
      <c r="D22" s="2" t="inlineStr">
        <is>
          <t>Asfalt Schades Heel Noord</t>
        </is>
      </c>
      <c r="E22" s="2" t="inlineStr">
        <is>
          <t>37.00 x o.50 Molenaarsweg bocht voor zuideinde</t>
        </is>
      </c>
      <c r="F22" s="2" t="inlineStr"/>
      <c r="G22" s="2" t="n">
        <v>0</v>
      </c>
      <c r="H22" s="7" t="n"/>
      <c r="I22" s="7" t="n"/>
      <c r="J22" s="7" t="n"/>
      <c r="K22" s="2">
        <f>INDEX(Tarieven!$A$4:$E$7,MATCH($B22,Tarieven!$A$4:$A$7,0),2)</f>
        <v/>
      </c>
      <c r="L22" s="7">
        <f>IF($K22="plek",$G22,IF($K22="m1",$H22,$J22))</f>
        <v/>
      </c>
      <c r="M22" s="8">
        <f>INDEX(Tarieven!$A$4:$E$7,MATCH($B22,Tarieven!$A$4:$A$7,0),3)</f>
        <v/>
      </c>
      <c r="N22" s="8">
        <f>INDEX(Tarieven!$A$4:$E$7,MATCH($B22,Tarieven!$A$4:$A$7,0),4)</f>
        <v/>
      </c>
      <c r="O22" s="8">
        <f>IFERROR($L22*$M22,0)</f>
        <v/>
      </c>
      <c r="P22" s="8">
        <f>IFERROR($L22*$N22,0)</f>
        <v/>
      </c>
      <c r="Q22" s="2" t="inlineStr">
        <is>
          <t>normaal</t>
        </is>
      </c>
      <c r="R22" s="2" t="inlineStr">
        <is>
          <t>2026-06-09</t>
        </is>
      </c>
      <c r="S22" s="2" t="n">
        <v>24</v>
      </c>
      <c r="T22" s="2" t="n">
        <v>52.41985</v>
      </c>
      <c r="U22" s="2" t="n">
        <v>4.89196</v>
      </c>
      <c r="V22" s="2" t="inlineStr">
        <is>
          <t>Molenwijk 8, Amsterdam</t>
        </is>
      </c>
      <c r="W22" s="2" t="inlineStr">
        <is>
          <t>Asfalt Schouw NOORD — 26 augustus 2026</t>
        </is>
      </c>
      <c r="X22" s="2" t="inlineStr">
        <is>
          <t>7/49</t>
        </is>
      </c>
      <c r="Y22" s="2" t="inlineStr">
        <is>
          <t>021-molenaarsweg.jpg</t>
        </is>
      </c>
      <c r="Z22" s="9" t="inlineStr">
        <is>
          <t>in het rapport groen doorgestreept — werksoort onduidelijk</t>
        </is>
      </c>
      <c r="AA22" s="9" t="inlineStr">
        <is>
          <t>geen maatvoering in de bron</t>
        </is>
      </c>
      <c r="AB22" s="2" t="inlineStr">
        <is>
          <t>SOK-AMS-MOLENAARSWEG</t>
        </is>
      </c>
      <c r="AC22" s="2" t="inlineStr"/>
      <c r="AD22" s="2" t="n">
        <v>2</v>
      </c>
    </row>
    <row r="23">
      <c r="A23" s="2" t="inlineStr">
        <is>
          <t>SOK-AMS-2026-022</t>
        </is>
      </c>
      <c r="B23" s="2" t="inlineStr">
        <is>
          <t>Asfalt – nog in te delen</t>
        </is>
      </c>
      <c r="C23" s="2" t="inlineStr">
        <is>
          <t>Meteorenweg</t>
        </is>
      </c>
      <c r="D23" s="2" t="inlineStr">
        <is>
          <t>Tuindorp Oostzaan</t>
        </is>
      </c>
      <c r="E23" s="2" t="inlineStr">
        <is>
          <t>1.70 x 1.60 + 3.30 x 0.90 Meteorenweg / Aldebaranstr</t>
        </is>
      </c>
      <c r="F23" s="2" t="inlineStr">
        <is>
          <t>1,70 × 1,60 m + 3,30 × 0,90 m  (samen 5,7 m²)</t>
        </is>
      </c>
      <c r="G23" s="2" t="n">
        <v>2</v>
      </c>
      <c r="H23" s="7" t="n">
        <v>5</v>
      </c>
      <c r="I23" s="7" t="n">
        <v>0.9</v>
      </c>
      <c r="J23" s="7" t="n">
        <v>5.69</v>
      </c>
      <c r="K23" s="2">
        <f>INDEX(Tarieven!$A$4:$E$7,MATCH($B23,Tarieven!$A$4:$A$7,0),2)</f>
        <v/>
      </c>
      <c r="L23" s="7">
        <f>IF($K23="plek",$G23,IF($K23="m1",$H23,$J23))</f>
        <v/>
      </c>
      <c r="M23" s="8">
        <f>INDEX(Tarieven!$A$4:$E$7,MATCH($B23,Tarieven!$A$4:$A$7,0),3)</f>
        <v/>
      </c>
      <c r="N23" s="8">
        <f>INDEX(Tarieven!$A$4:$E$7,MATCH($B23,Tarieven!$A$4:$A$7,0),4)</f>
        <v/>
      </c>
      <c r="O23" s="8">
        <f>IFERROR($L23*$M23,0)</f>
        <v/>
      </c>
      <c r="P23" s="8">
        <f>IFERROR($L23*$N23,0)</f>
        <v/>
      </c>
      <c r="Q23" s="2" t="inlineStr">
        <is>
          <t>normaal</t>
        </is>
      </c>
      <c r="R23" s="2" t="inlineStr">
        <is>
          <t>2026-06-09</t>
        </is>
      </c>
      <c r="S23" s="2" t="n">
        <v>24</v>
      </c>
      <c r="T23" s="2" t="n">
        <v>52.41084</v>
      </c>
      <c r="U23" s="2" t="n">
        <v>4.89062</v>
      </c>
      <c r="V23" s="2" t="inlineStr">
        <is>
          <t>Aldebaranstraat 1, Amsterdam</t>
        </is>
      </c>
      <c r="W23" s="2" t="inlineStr">
        <is>
          <t>Asfalt Schouw NOORD — 26 augustus 2026</t>
        </is>
      </c>
      <c r="X23" s="2" t="inlineStr">
        <is>
          <t>7/49</t>
        </is>
      </c>
      <c r="Y23" s="2" t="inlineStr">
        <is>
          <t>022-meteorenweg.jpg</t>
        </is>
      </c>
      <c r="Z23" s="9" t="inlineStr">
        <is>
          <t>geen code in de kantlijn en geen asfaltsoort in de tekst</t>
        </is>
      </c>
      <c r="AA23" s="9" t="inlineStr"/>
      <c r="AB23" s="2" t="inlineStr">
        <is>
          <t>SOK-AMS-METEORENWEG</t>
        </is>
      </c>
      <c r="AC23" s="2" t="inlineStr"/>
      <c r="AD23" s="2" t="n">
        <v>1</v>
      </c>
    </row>
    <row r="24">
      <c r="A24" s="2" t="inlineStr">
        <is>
          <t>SOK-AMS-2026-023</t>
        </is>
      </c>
      <c r="B24" s="2" t="inlineStr">
        <is>
          <t>Asfalt – nog in te delen</t>
        </is>
      </c>
      <c r="C24" s="2" t="inlineStr">
        <is>
          <t>Aldebaranstraat</t>
        </is>
      </c>
      <c r="D24" s="2" t="inlineStr">
        <is>
          <t>Tuindorp Oostzaan</t>
        </is>
      </c>
      <c r="E24" s="2" t="inlineStr">
        <is>
          <t>51.00 x 1.00 Aldebaranstr nr 13 tot Meteorenweg</t>
        </is>
      </c>
      <c r="F24" s="2" t="inlineStr">
        <is>
          <t>51,00 × 1,00 m  (samen 51,0 m²)</t>
        </is>
      </c>
      <c r="G24" s="2" t="n">
        <v>1</v>
      </c>
      <c r="H24" s="7" t="n">
        <v>51</v>
      </c>
      <c r="I24" s="7" t="n">
        <v>1</v>
      </c>
      <c r="J24" s="7" t="n">
        <v>51</v>
      </c>
      <c r="K24" s="2">
        <f>INDEX(Tarieven!$A$4:$E$7,MATCH($B24,Tarieven!$A$4:$A$7,0),2)</f>
        <v/>
      </c>
      <c r="L24" s="7">
        <f>IF($K24="plek",$G24,IF($K24="m1",$H24,$J24))</f>
        <v/>
      </c>
      <c r="M24" s="8">
        <f>INDEX(Tarieven!$A$4:$E$7,MATCH($B24,Tarieven!$A$4:$A$7,0),3)</f>
        <v/>
      </c>
      <c r="N24" s="8">
        <f>INDEX(Tarieven!$A$4:$E$7,MATCH($B24,Tarieven!$A$4:$A$7,0),4)</f>
        <v/>
      </c>
      <c r="O24" s="8">
        <f>IFERROR($L24*$M24,0)</f>
        <v/>
      </c>
      <c r="P24" s="8">
        <f>IFERROR($L24*$N24,0)</f>
        <v/>
      </c>
      <c r="Q24" s="2" t="inlineStr">
        <is>
          <t>normaal</t>
        </is>
      </c>
      <c r="R24" s="2" t="inlineStr">
        <is>
          <t>2026-06-09</t>
        </is>
      </c>
      <c r="S24" s="2" t="n">
        <v>24</v>
      </c>
      <c r="T24" s="2" t="n">
        <v>52.41084</v>
      </c>
      <c r="U24" s="2" t="n">
        <v>4.89062</v>
      </c>
      <c r="V24" s="2" t="inlineStr">
        <is>
          <t>Aldebaranstraat 1, Amsterdam</t>
        </is>
      </c>
      <c r="W24" s="2" t="inlineStr">
        <is>
          <t>Asfalt Schouw NOORD — 26 augustus 2026</t>
        </is>
      </c>
      <c r="X24" s="2" t="inlineStr">
        <is>
          <t>8/49</t>
        </is>
      </c>
      <c r="Y24" s="2" t="inlineStr">
        <is>
          <t>023-aldebaranstraat.jpg</t>
        </is>
      </c>
      <c r="Z24" s="9" t="inlineStr">
        <is>
          <t>geen code in de kantlijn en geen asfaltsoort in de tekst</t>
        </is>
      </c>
      <c r="AA24" s="9" t="inlineStr"/>
      <c r="AB24" s="2" t="inlineStr">
        <is>
          <t>SOK-AMS-ALDEBARANSTRAAT</t>
        </is>
      </c>
      <c r="AC24" s="2" t="inlineStr"/>
      <c r="AD24" s="2" t="n">
        <v>1</v>
      </c>
    </row>
    <row r="25">
      <c r="A25" s="2" t="inlineStr">
        <is>
          <t>SOK-AMS-2026-024</t>
        </is>
      </c>
      <c r="B25" s="2" t="inlineStr">
        <is>
          <t>Asfalt – nog in te delen</t>
        </is>
      </c>
      <c r="C25" s="2" t="inlineStr">
        <is>
          <t>Aldebaranstraat</t>
        </is>
      </c>
      <c r="D25" s="2" t="inlineStr">
        <is>
          <t>Tuindorp Oostzaan</t>
        </is>
      </c>
      <c r="E25" s="2" t="inlineStr">
        <is>
          <t>Rigelstraat van nr 3 tot Aldebaranstr 18 00 x 0.80</t>
        </is>
      </c>
      <c r="F25" s="2" t="inlineStr"/>
      <c r="G25" s="2" t="n">
        <v>0</v>
      </c>
      <c r="H25" s="7" t="n"/>
      <c r="I25" s="7" t="n"/>
      <c r="J25" s="7" t="n"/>
      <c r="K25" s="2">
        <f>INDEX(Tarieven!$A$4:$E$7,MATCH($B25,Tarieven!$A$4:$A$7,0),2)</f>
        <v/>
      </c>
      <c r="L25" s="7">
        <f>IF($K25="plek",$G25,IF($K25="m1",$H25,$J25))</f>
        <v/>
      </c>
      <c r="M25" s="8">
        <f>INDEX(Tarieven!$A$4:$E$7,MATCH($B25,Tarieven!$A$4:$A$7,0),3)</f>
        <v/>
      </c>
      <c r="N25" s="8">
        <f>INDEX(Tarieven!$A$4:$E$7,MATCH($B25,Tarieven!$A$4:$A$7,0),4)</f>
        <v/>
      </c>
      <c r="O25" s="8">
        <f>IFERROR($L25*$M25,0)</f>
        <v/>
      </c>
      <c r="P25" s="8">
        <f>IFERROR($L25*$N25,0)</f>
        <v/>
      </c>
      <c r="Q25" s="2" t="inlineStr">
        <is>
          <t>normaal</t>
        </is>
      </c>
      <c r="R25" s="2" t="inlineStr">
        <is>
          <t>2026-06-09</t>
        </is>
      </c>
      <c r="S25" s="2" t="n">
        <v>24</v>
      </c>
      <c r="T25" s="2" t="n">
        <v>52.41114</v>
      </c>
      <c r="U25" s="2" t="n">
        <v>4.89099</v>
      </c>
      <c r="V25" s="2" t="inlineStr">
        <is>
          <t>Aldebaranstraat 13, Amsterdam</t>
        </is>
      </c>
      <c r="W25" s="2" t="inlineStr">
        <is>
          <t>Asfalt Schouw NOORD — 26 augustus 2026</t>
        </is>
      </c>
      <c r="X25" s="2" t="inlineStr">
        <is>
          <t>8/49</t>
        </is>
      </c>
      <c r="Y25" s="2" t="inlineStr">
        <is>
          <t>024-aldebaranstraat.jpg</t>
        </is>
      </c>
      <c r="Z25" s="9" t="inlineStr">
        <is>
          <t>geen code in de kantlijn en geen asfaltsoort in de tekst</t>
        </is>
      </c>
      <c r="AA25" s="9" t="inlineStr">
        <is>
          <t>geen maatvoering in de bron</t>
        </is>
      </c>
      <c r="AB25" s="2" t="inlineStr">
        <is>
          <t>SOK-AMS-ALDEBARANSTRAAT</t>
        </is>
      </c>
      <c r="AC25" s="2" t="inlineStr"/>
      <c r="AD25" s="2" t="n">
        <v>1</v>
      </c>
    </row>
    <row r="26">
      <c r="A26" s="2" t="inlineStr">
        <is>
          <t>SOK-AMS-2026-025</t>
        </is>
      </c>
      <c r="B26" s="2" t="inlineStr">
        <is>
          <t>Hotbox werkzaamheden</t>
        </is>
      </c>
      <c r="C26" s="2" t="inlineStr">
        <is>
          <t>Rigelstraat</t>
        </is>
      </c>
      <c r="D26" s="2" t="inlineStr">
        <is>
          <t>Tuindorp Oostzaan</t>
        </is>
      </c>
      <c r="E26" s="2" t="inlineStr">
        <is>
          <t>Rigelstr nr. 8. 2.40 x 0.30</t>
        </is>
      </c>
      <c r="F26" s="2" t="inlineStr">
        <is>
          <t>2,40 × 0,30 m  (samen 0,7 m²)</t>
        </is>
      </c>
      <c r="G26" s="2" t="n">
        <v>1</v>
      </c>
      <c r="H26" s="7" t="n">
        <v>2.4</v>
      </c>
      <c r="I26" s="7" t="n">
        <v>0.3</v>
      </c>
      <c r="J26" s="7" t="n">
        <v>0.72</v>
      </c>
      <c r="K26" s="2">
        <f>INDEX(Tarieven!$A$4:$E$7,MATCH($B26,Tarieven!$A$4:$A$7,0),2)</f>
        <v/>
      </c>
      <c r="L26" s="7">
        <f>IF($K26="plek",$G26,IF($K26="m1",$H26,$J26))</f>
        <v/>
      </c>
      <c r="M26" s="8">
        <f>INDEX(Tarieven!$A$4:$E$7,MATCH($B26,Tarieven!$A$4:$A$7,0),3)</f>
        <v/>
      </c>
      <c r="N26" s="8">
        <f>INDEX(Tarieven!$A$4:$E$7,MATCH($B26,Tarieven!$A$4:$A$7,0),4)</f>
        <v/>
      </c>
      <c r="O26" s="8">
        <f>IFERROR($L26*$M26,0)</f>
        <v/>
      </c>
      <c r="P26" s="8">
        <f>IFERROR($L26*$N26,0)</f>
        <v/>
      </c>
      <c r="Q26" s="2" t="inlineStr">
        <is>
          <t>normaal</t>
        </is>
      </c>
      <c r="R26" s="2" t="inlineStr">
        <is>
          <t>2026-06-09</t>
        </is>
      </c>
      <c r="S26" s="2" t="n">
        <v>24</v>
      </c>
      <c r="T26" s="2" t="n">
        <v>52.4112</v>
      </c>
      <c r="U26" s="2" t="n">
        <v>4.89043</v>
      </c>
      <c r="V26" s="2" t="inlineStr">
        <is>
          <t>Rigelstraat 9, Amsterdam</t>
        </is>
      </c>
      <c r="W26" s="2" t="inlineStr">
        <is>
          <t>Asfalt Schouw NOORD — 26 augustus 2026</t>
        </is>
      </c>
      <c r="X26" s="2" t="inlineStr">
        <is>
          <t>9/49</t>
        </is>
      </c>
      <c r="Y26" s="2" t="inlineStr">
        <is>
          <t>025-rigelstraat.jpg</t>
        </is>
      </c>
      <c r="Z26" s="9" t="inlineStr">
        <is>
          <t>handgeschreven code "HB" in de kantlijn</t>
        </is>
      </c>
      <c r="AA26" s="9" t="inlineStr"/>
      <c r="AB26" s="2" t="inlineStr">
        <is>
          <t>SOK-AMS-RIGELSTRAAT</t>
        </is>
      </c>
      <c r="AC26" s="2" t="inlineStr"/>
      <c r="AD26" s="2" t="n">
        <v>1</v>
      </c>
    </row>
    <row r="27">
      <c r="A27" s="2" t="inlineStr">
        <is>
          <t>SOK-AMS-2026-026</t>
        </is>
      </c>
      <c r="B27" s="2" t="inlineStr">
        <is>
          <t>Hotbox werkzaamheden</t>
        </is>
      </c>
      <c r="C27" s="2" t="inlineStr">
        <is>
          <t>Rigelstraat</t>
        </is>
      </c>
      <c r="D27" s="2" t="inlineStr">
        <is>
          <t>Tuindorp Oostzaan</t>
        </is>
      </c>
      <c r="E27" s="2" t="inlineStr">
        <is>
          <t>Rigelstr nr. 8 tot nr. 10 31.50 x 0.70</t>
        </is>
      </c>
      <c r="F27" s="2" t="inlineStr">
        <is>
          <t>31,50 × 0,70 m  (samen 22,0 m²)</t>
        </is>
      </c>
      <c r="G27" s="2" t="n">
        <v>1</v>
      </c>
      <c r="H27" s="7" t="n">
        <v>31.5</v>
      </c>
      <c r="I27" s="7" t="n">
        <v>0.7</v>
      </c>
      <c r="J27" s="7" t="n">
        <v>22.05</v>
      </c>
      <c r="K27" s="2">
        <f>INDEX(Tarieven!$A$4:$E$7,MATCH($B27,Tarieven!$A$4:$A$7,0),2)</f>
        <v/>
      </c>
      <c r="L27" s="7">
        <f>IF($K27="plek",$G27,IF($K27="m1",$H27,$J27))</f>
        <v/>
      </c>
      <c r="M27" s="8">
        <f>INDEX(Tarieven!$A$4:$E$7,MATCH($B27,Tarieven!$A$4:$A$7,0),3)</f>
        <v/>
      </c>
      <c r="N27" s="8">
        <f>INDEX(Tarieven!$A$4:$E$7,MATCH($B27,Tarieven!$A$4:$A$7,0),4)</f>
        <v/>
      </c>
      <c r="O27" s="8">
        <f>IFERROR($L27*$M27,0)</f>
        <v/>
      </c>
      <c r="P27" s="8">
        <f>IFERROR($L27*$N27,0)</f>
        <v/>
      </c>
      <c r="Q27" s="2" t="inlineStr">
        <is>
          <t>normaal</t>
        </is>
      </c>
      <c r="R27" s="2" t="inlineStr">
        <is>
          <t>2026-06-09</t>
        </is>
      </c>
      <c r="S27" s="2" t="n">
        <v>24</v>
      </c>
      <c r="T27" s="2" t="n">
        <v>52.41204</v>
      </c>
      <c r="U27" s="2" t="n">
        <v>4.88934</v>
      </c>
      <c r="V27" s="2" t="inlineStr">
        <is>
          <t>Zonneweg 17, Amsterdam</t>
        </is>
      </c>
      <c r="W27" s="2" t="inlineStr">
        <is>
          <t>Asfalt Schouw NOORD — 26 augustus 2026</t>
        </is>
      </c>
      <c r="X27" s="2" t="inlineStr">
        <is>
          <t>9/49</t>
        </is>
      </c>
      <c r="Y27" s="2" t="inlineStr">
        <is>
          <t>026-rigelstraat.jpg</t>
        </is>
      </c>
      <c r="Z27" s="9" t="inlineStr">
        <is>
          <t>handgeschreven code "HB" in de kantlijn</t>
        </is>
      </c>
      <c r="AA27" s="9" t="inlineStr"/>
      <c r="AB27" s="2" t="inlineStr">
        <is>
          <t>SOK-AMS-RIGELSTRAAT</t>
        </is>
      </c>
      <c r="AC27" s="2" t="inlineStr"/>
      <c r="AD27" s="2" t="n">
        <v>1</v>
      </c>
    </row>
    <row r="28">
      <c r="A28" s="2" t="inlineStr">
        <is>
          <t>SOK-AMS-2026-027</t>
        </is>
      </c>
      <c r="B28" s="2" t="inlineStr">
        <is>
          <t>Hotbox werkzaamheden</t>
        </is>
      </c>
      <c r="C28" s="2" t="inlineStr">
        <is>
          <t>Zonneweg</t>
        </is>
      </c>
      <c r="D28" s="2" t="inlineStr">
        <is>
          <t>Tuindorp Oostzaan</t>
        </is>
      </c>
      <c r="E28" s="2" t="inlineStr">
        <is>
          <t>Zonneweg 5.60 1.40 t.h.v. Betelgeuzenstraat foto 1. + 5.90 x 1.40 foto 2. Foto 3 v/a Meteorenweg tot nr 28 Zonnebloemstr. 90.00 x 0.40</t>
        </is>
      </c>
      <c r="F28" s="2" t="inlineStr">
        <is>
          <t>5,90 × 1,40 m + 90,00 × 0,40 m  (samen 44,3 m²)</t>
        </is>
      </c>
      <c r="G28" s="2" t="n">
        <v>2</v>
      </c>
      <c r="H28" s="7" t="n">
        <v>95.90000000000001</v>
      </c>
      <c r="I28" s="7" t="n">
        <v>0.4</v>
      </c>
      <c r="J28" s="7" t="n">
        <v>44.26</v>
      </c>
      <c r="K28" s="2">
        <f>INDEX(Tarieven!$A$4:$E$7,MATCH($B28,Tarieven!$A$4:$A$7,0),2)</f>
        <v/>
      </c>
      <c r="L28" s="7">
        <f>IF($K28="plek",$G28,IF($K28="m1",$H28,$J28))</f>
        <v/>
      </c>
      <c r="M28" s="8">
        <f>INDEX(Tarieven!$A$4:$E$7,MATCH($B28,Tarieven!$A$4:$A$7,0),3)</f>
        <v/>
      </c>
      <c r="N28" s="8">
        <f>INDEX(Tarieven!$A$4:$E$7,MATCH($B28,Tarieven!$A$4:$A$7,0),4)</f>
        <v/>
      </c>
      <c r="O28" s="8">
        <f>IFERROR($L28*$M28,0)</f>
        <v/>
      </c>
      <c r="P28" s="8">
        <f>IFERROR($L28*$N28,0)</f>
        <v/>
      </c>
      <c r="Q28" s="2" t="inlineStr">
        <is>
          <t>normaal</t>
        </is>
      </c>
      <c r="R28" s="2" t="inlineStr">
        <is>
          <t>2026-06-09</t>
        </is>
      </c>
      <c r="S28" s="2" t="n">
        <v>24</v>
      </c>
      <c r="T28" s="2" t="n">
        <v>52.41182</v>
      </c>
      <c r="U28" s="2" t="n">
        <v>4.88947</v>
      </c>
      <c r="V28" s="2" t="inlineStr">
        <is>
          <t>Rigelstraat 19, Amsterdam</t>
        </is>
      </c>
      <c r="W28" s="2" t="inlineStr">
        <is>
          <t>Asfalt Schouw NOORD — 26 augustus 2026</t>
        </is>
      </c>
      <c r="X28" s="2" t="inlineStr">
        <is>
          <t>9/49</t>
        </is>
      </c>
      <c r="Y28" s="2" t="inlineStr">
        <is>
          <t>027-zonneweg.jpg</t>
        </is>
      </c>
      <c r="Z28" s="9" t="inlineStr">
        <is>
          <t>handgeschreven code "HB" in de kantlijn</t>
        </is>
      </c>
      <c r="AA28" s="9" t="inlineStr"/>
      <c r="AB28" s="2" t="inlineStr">
        <is>
          <t>SOK-AMS-ZONNEWEG</t>
        </is>
      </c>
      <c r="AC28" s="2" t="inlineStr"/>
      <c r="AD28" s="2" t="n">
        <v>3</v>
      </c>
    </row>
    <row r="29">
      <c r="A29" s="2" t="inlineStr">
        <is>
          <t>SOK-AMS-2026-028</t>
        </is>
      </c>
      <c r="B29" s="2" t="inlineStr">
        <is>
          <t>Hotbox werkzaamheden</t>
        </is>
      </c>
      <c r="C29" s="2" t="inlineStr">
        <is>
          <t>Meteorenweg</t>
        </is>
      </c>
      <c r="D29" s="2" t="inlineStr">
        <is>
          <t>Tuindorp Oostzaan</t>
        </is>
      </c>
      <c r="E29" s="2" t="inlineStr">
        <is>
          <t>Meteorenweg / Zonneweg 4.60 x 0.90 + 1.80 x 1.20</t>
        </is>
      </c>
      <c r="F29" s="2" t="inlineStr">
        <is>
          <t>4,60 × 0,90 m + 1,80 × 1,20 m  (samen 6,3 m²)</t>
        </is>
      </c>
      <c r="G29" s="2" t="n">
        <v>2</v>
      </c>
      <c r="H29" s="7" t="n">
        <v>6.4</v>
      </c>
      <c r="I29" s="7" t="n">
        <v>0.9</v>
      </c>
      <c r="J29" s="7" t="n">
        <v>6.3</v>
      </c>
      <c r="K29" s="2">
        <f>INDEX(Tarieven!$A$4:$E$7,MATCH($B29,Tarieven!$A$4:$A$7,0),2)</f>
        <v/>
      </c>
      <c r="L29" s="7">
        <f>IF($K29="plek",$G29,IF($K29="m1",$H29,$J29))</f>
        <v/>
      </c>
      <c r="M29" s="8">
        <f>INDEX(Tarieven!$A$4:$E$7,MATCH($B29,Tarieven!$A$4:$A$7,0),3)</f>
        <v/>
      </c>
      <c r="N29" s="8">
        <f>INDEX(Tarieven!$A$4:$E$7,MATCH($B29,Tarieven!$A$4:$A$7,0),4)</f>
        <v/>
      </c>
      <c r="O29" s="8">
        <f>IFERROR($L29*$M29,0)</f>
        <v/>
      </c>
      <c r="P29" s="8">
        <f>IFERROR($L29*$N29,0)</f>
        <v/>
      </c>
      <c r="Q29" s="2" t="inlineStr">
        <is>
          <t>normaal</t>
        </is>
      </c>
      <c r="R29" s="2" t="inlineStr">
        <is>
          <t>2026-06-09</t>
        </is>
      </c>
      <c r="S29" s="2" t="n">
        <v>24</v>
      </c>
      <c r="T29" s="2" t="n">
        <v>52.4117</v>
      </c>
      <c r="U29" s="2" t="n">
        <v>4.8889</v>
      </c>
      <c r="V29" s="2" t="inlineStr">
        <is>
          <t>Zonneweg 3, Amsterdam</t>
        </is>
      </c>
      <c r="W29" s="2" t="inlineStr">
        <is>
          <t>Asfalt Schouw NOORD — 26 augustus 2026</t>
        </is>
      </c>
      <c r="X29" s="2" t="inlineStr">
        <is>
          <t>10/49</t>
        </is>
      </c>
      <c r="Y29" s="2" t="inlineStr">
        <is>
          <t>028-meteorenweg.jpg</t>
        </is>
      </c>
      <c r="Z29" s="9" t="inlineStr">
        <is>
          <t>handgeschreven code "HB" in de kantlijn</t>
        </is>
      </c>
      <c r="AA29" s="9" t="inlineStr"/>
      <c r="AB29" s="2" t="inlineStr">
        <is>
          <t>SOK-AMS-METEORENWEG</t>
        </is>
      </c>
      <c r="AC29" s="2" t="inlineStr"/>
      <c r="AD29" s="2" t="n">
        <v>1</v>
      </c>
    </row>
    <row r="30">
      <c r="A30" s="2" t="inlineStr">
        <is>
          <t>SOK-AMS-2026-029</t>
        </is>
      </c>
      <c r="B30" s="2" t="inlineStr">
        <is>
          <t>Hotbox werkzaamheden</t>
        </is>
      </c>
      <c r="C30" s="2" t="inlineStr">
        <is>
          <t>Kometensingel</t>
        </is>
      </c>
      <c r="D30" s="2" t="inlineStr">
        <is>
          <t>Tuindorp Oostzaan</t>
        </is>
      </c>
      <c r="E30" s="2" t="inlineStr">
        <is>
          <t>Kometensingel v/a nr. 303 tot 265 12 x 2.60 x 0.40 foto 1. Nr. 265 2.20 x 0.90 + 1.80 x 0.60. Foto 3 nr 275 2.00 x 1.40. Foto 4. T/o Neptunusplein 1.60 x 2.00</t>
        </is>
      </c>
      <c r="F30" s="2" t="inlineStr">
        <is>
          <t>12× 2,60 × 0,40 m + 2,20 × 0,90 m + 1,80 × 0,60 m + 2,00 × 1,40 m + 2,00 × 1,60 m  (samen 21,5 m²)</t>
        </is>
      </c>
      <c r="G30" s="2" t="n">
        <v>16</v>
      </c>
      <c r="H30" s="7" t="n">
        <v>39.2</v>
      </c>
      <c r="I30" s="7" t="n">
        <v>0.4</v>
      </c>
      <c r="J30" s="7" t="n">
        <v>21.54</v>
      </c>
      <c r="K30" s="2">
        <f>INDEX(Tarieven!$A$4:$E$7,MATCH($B30,Tarieven!$A$4:$A$7,0),2)</f>
        <v/>
      </c>
      <c r="L30" s="7">
        <f>IF($K30="plek",$G30,IF($K30="m1",$H30,$J30))</f>
        <v/>
      </c>
      <c r="M30" s="8">
        <f>INDEX(Tarieven!$A$4:$E$7,MATCH($B30,Tarieven!$A$4:$A$7,0),3)</f>
        <v/>
      </c>
      <c r="N30" s="8">
        <f>INDEX(Tarieven!$A$4:$E$7,MATCH($B30,Tarieven!$A$4:$A$7,0),4)</f>
        <v/>
      </c>
      <c r="O30" s="8">
        <f>IFERROR($L30*$M30,0)</f>
        <v/>
      </c>
      <c r="P30" s="8">
        <f>IFERROR($L30*$N30,0)</f>
        <v/>
      </c>
      <c r="Q30" s="2" t="inlineStr">
        <is>
          <t>normaal</t>
        </is>
      </c>
      <c r="R30" s="2" t="inlineStr">
        <is>
          <t>2026-06-09</t>
        </is>
      </c>
      <c r="S30" s="2" t="n">
        <v>24</v>
      </c>
      <c r="T30" s="2" t="n">
        <v>52.41531</v>
      </c>
      <c r="U30" s="2" t="n">
        <v>4.88148</v>
      </c>
      <c r="V30" s="2" t="inlineStr">
        <is>
          <t>Kometensingel 303, Amsterdam</t>
        </is>
      </c>
      <c r="W30" s="2" t="inlineStr">
        <is>
          <t>Asfalt Schouw NOORD — 26 augustus 2026</t>
        </is>
      </c>
      <c r="X30" s="2" t="inlineStr">
        <is>
          <t>10/49</t>
        </is>
      </c>
      <c r="Y30" s="2" t="inlineStr">
        <is>
          <t>029-kometensingel.jpg</t>
        </is>
      </c>
      <c r="Z30" s="9" t="inlineStr">
        <is>
          <t>handgeschreven code "HB" in de kantlijn</t>
        </is>
      </c>
      <c r="AA30" s="9" t="inlineStr"/>
      <c r="AB30" s="2" t="inlineStr">
        <is>
          <t>SOK-AMS-KOMETENSINGEL</t>
        </is>
      </c>
      <c r="AC30" s="2" t="inlineStr"/>
      <c r="AD30" s="2" t="n">
        <v>4</v>
      </c>
    </row>
    <row r="31">
      <c r="A31" s="2" t="inlineStr">
        <is>
          <t>SOK-AMS-2026-030</t>
        </is>
      </c>
      <c r="B31" s="2" t="inlineStr">
        <is>
          <t>Hotbox werkzaamheden</t>
        </is>
      </c>
      <c r="C31" s="2" t="inlineStr">
        <is>
          <t>Kometensingel</t>
        </is>
      </c>
      <c r="D31" s="2" t="inlineStr">
        <is>
          <t>Asfalt Schades Heel Noord</t>
        </is>
      </c>
      <c r="E31" s="2" t="inlineStr">
        <is>
          <t>Kometensingel 275 4.00 x 1.00</t>
        </is>
      </c>
      <c r="F31" s="2" t="inlineStr">
        <is>
          <t>4,00 × 1,00 m  (samen 4,0 m²)</t>
        </is>
      </c>
      <c r="G31" s="2" t="n">
        <v>1</v>
      </c>
      <c r="H31" s="7" t="n">
        <v>4</v>
      </c>
      <c r="I31" s="7" t="n">
        <v>1</v>
      </c>
      <c r="J31" s="7" t="n">
        <v>4</v>
      </c>
      <c r="K31" s="2">
        <f>INDEX(Tarieven!$A$4:$E$7,MATCH($B31,Tarieven!$A$4:$A$7,0),2)</f>
        <v/>
      </c>
      <c r="L31" s="7">
        <f>IF($K31="plek",$G31,IF($K31="m1",$H31,$J31))</f>
        <v/>
      </c>
      <c r="M31" s="8">
        <f>INDEX(Tarieven!$A$4:$E$7,MATCH($B31,Tarieven!$A$4:$A$7,0),3)</f>
        <v/>
      </c>
      <c r="N31" s="8">
        <f>INDEX(Tarieven!$A$4:$E$7,MATCH($B31,Tarieven!$A$4:$A$7,0),4)</f>
        <v/>
      </c>
      <c r="O31" s="8">
        <f>IFERROR($L31*$M31,0)</f>
        <v/>
      </c>
      <c r="P31" s="8">
        <f>IFERROR($L31*$N31,0)</f>
        <v/>
      </c>
      <c r="Q31" s="2" t="inlineStr">
        <is>
          <t>normaal</t>
        </is>
      </c>
      <c r="R31" s="2" t="inlineStr">
        <is>
          <t>2026-06-09</t>
        </is>
      </c>
      <c r="S31" s="2" t="n">
        <v>24</v>
      </c>
      <c r="T31" s="2" t="n">
        <v>52.41637</v>
      </c>
      <c r="U31" s="2" t="n">
        <v>4.88233</v>
      </c>
      <c r="V31" s="2" t="inlineStr">
        <is>
          <t>Kometensingel 271A, Amsterdam</t>
        </is>
      </c>
      <c r="W31" s="2" t="inlineStr">
        <is>
          <t>Asfalt Schouw NOORD — 26 augustus 2026</t>
        </is>
      </c>
      <c r="X31" s="2" t="inlineStr">
        <is>
          <t>10/49</t>
        </is>
      </c>
      <c r="Y31" s="2" t="inlineStr">
        <is>
          <t>030-kometensingel.jpg</t>
        </is>
      </c>
      <c r="Z31" s="9" t="inlineStr">
        <is>
          <t>handgeschreven code "HB" in de kantlijn</t>
        </is>
      </c>
      <c r="AA31" s="9" t="inlineStr"/>
      <c r="AB31" s="2" t="inlineStr">
        <is>
          <t>SOK-AMS-KOMETENSINGEL</t>
        </is>
      </c>
      <c r="AC31" s="2" t="inlineStr"/>
      <c r="AD31" s="2" t="n">
        <v>1</v>
      </c>
    </row>
    <row r="32">
      <c r="A32" s="2" t="inlineStr">
        <is>
          <t>SOK-AMS-2026-031</t>
        </is>
      </c>
      <c r="B32" s="2" t="inlineStr">
        <is>
          <t>Hotbox werkzaamheden</t>
        </is>
      </c>
      <c r="C32" s="2" t="inlineStr">
        <is>
          <t>Meteorenweg</t>
        </is>
      </c>
      <c r="D32" s="2" t="inlineStr">
        <is>
          <t>Tuindorp Oostzaan</t>
        </is>
      </c>
      <c r="E32" s="2" t="inlineStr">
        <is>
          <t>Meteorenweg 267 0.90 x 1.30</t>
        </is>
      </c>
      <c r="F32" s="2" t="inlineStr">
        <is>
          <t>1,30 × 0,90 m  (samen 1,2 m²)</t>
        </is>
      </c>
      <c r="G32" s="2" t="n">
        <v>1</v>
      </c>
      <c r="H32" s="7" t="n">
        <v>1.3</v>
      </c>
      <c r="I32" s="7" t="n">
        <v>0.9</v>
      </c>
      <c r="J32" s="7" t="n">
        <v>1.17</v>
      </c>
      <c r="K32" s="2">
        <f>INDEX(Tarieven!$A$4:$E$7,MATCH($B32,Tarieven!$A$4:$A$7,0),2)</f>
        <v/>
      </c>
      <c r="L32" s="7">
        <f>IF($K32="plek",$G32,IF($K32="m1",$H32,$J32))</f>
        <v/>
      </c>
      <c r="M32" s="8">
        <f>INDEX(Tarieven!$A$4:$E$7,MATCH($B32,Tarieven!$A$4:$A$7,0),3)</f>
        <v/>
      </c>
      <c r="N32" s="8">
        <f>INDEX(Tarieven!$A$4:$E$7,MATCH($B32,Tarieven!$A$4:$A$7,0),4)</f>
        <v/>
      </c>
      <c r="O32" s="8">
        <f>IFERROR($L32*$M32,0)</f>
        <v/>
      </c>
      <c r="P32" s="8">
        <f>IFERROR($L32*$N32,0)</f>
        <v/>
      </c>
      <c r="Q32" s="2" t="inlineStr">
        <is>
          <t>normaal</t>
        </is>
      </c>
      <c r="R32" s="2" t="inlineStr">
        <is>
          <t>2026-06-09</t>
        </is>
      </c>
      <c r="S32" s="2" t="n">
        <v>24</v>
      </c>
      <c r="T32" s="2" t="n">
        <v>52.41472</v>
      </c>
      <c r="U32" s="2" t="n">
        <v>4.8818</v>
      </c>
      <c r="V32" s="2" t="inlineStr">
        <is>
          <t>Meteorenweg 232, Amsterdam</t>
        </is>
      </c>
      <c r="W32" s="2" t="inlineStr">
        <is>
          <t>Asfalt Schouw NOORD — 26 augustus 2026</t>
        </is>
      </c>
      <c r="X32" s="2" t="inlineStr">
        <is>
          <t>11/49</t>
        </is>
      </c>
      <c r="Y32" s="2" t="inlineStr">
        <is>
          <t>031-meteorenweg.jpg</t>
        </is>
      </c>
      <c r="Z32" s="9" t="inlineStr">
        <is>
          <t>handgeschreven code "HB" in de kantlijn</t>
        </is>
      </c>
      <c r="AA32" s="9" t="inlineStr"/>
      <c r="AB32" s="2" t="inlineStr">
        <is>
          <t>SOK-AMS-METEORENWEG</t>
        </is>
      </c>
      <c r="AC32" s="2" t="inlineStr"/>
      <c r="AD32" s="2" t="n">
        <v>1</v>
      </c>
    </row>
    <row r="33">
      <c r="A33" s="2" t="inlineStr">
        <is>
          <t>SOK-AMS-2026-032</t>
        </is>
      </c>
      <c r="B33" s="2" t="inlineStr">
        <is>
          <t>Hotbox werkzaamheden</t>
        </is>
      </c>
      <c r="C33" s="2" t="inlineStr">
        <is>
          <t>Neptunusstraat</t>
        </is>
      </c>
      <c r="D33" s="2" t="inlineStr">
        <is>
          <t>Tuindorp Oostzaan</t>
        </is>
      </c>
      <c r="E33" s="2" t="inlineStr">
        <is>
          <t>Neptunusstr nr 332 3.75 x 1.20 foto 1. Foto 2 nr 2 2.50 x 040. Foto 3 nr.8 2.50 x 0.40</t>
        </is>
      </c>
      <c r="F33" s="2" t="inlineStr">
        <is>
          <t>3,75 × 1,20 m + 40,00 × 2,50 m + 2,50 × 0,40 m  (samen 105,5 m²)</t>
        </is>
      </c>
      <c r="G33" s="2" t="n">
        <v>3</v>
      </c>
      <c r="H33" s="7" t="n">
        <v>46.25</v>
      </c>
      <c r="I33" s="7" t="n">
        <v>0.4</v>
      </c>
      <c r="J33" s="7" t="n">
        <v>105.5</v>
      </c>
      <c r="K33" s="2">
        <f>INDEX(Tarieven!$A$4:$E$7,MATCH($B33,Tarieven!$A$4:$A$7,0),2)</f>
        <v/>
      </c>
      <c r="L33" s="7">
        <f>IF($K33="plek",$G33,IF($K33="m1",$H33,$J33))</f>
        <v/>
      </c>
      <c r="M33" s="8">
        <f>INDEX(Tarieven!$A$4:$E$7,MATCH($B33,Tarieven!$A$4:$A$7,0),3)</f>
        <v/>
      </c>
      <c r="N33" s="8">
        <f>INDEX(Tarieven!$A$4:$E$7,MATCH($B33,Tarieven!$A$4:$A$7,0),4)</f>
        <v/>
      </c>
      <c r="O33" s="8">
        <f>IFERROR($L33*$M33,0)</f>
        <v/>
      </c>
      <c r="P33" s="8">
        <f>IFERROR($L33*$N33,0)</f>
        <v/>
      </c>
      <c r="Q33" s="2" t="inlineStr">
        <is>
          <t>normaal</t>
        </is>
      </c>
      <c r="R33" s="2" t="inlineStr">
        <is>
          <t>2026-06-09</t>
        </is>
      </c>
      <c r="S33" s="2" t="n">
        <v>24</v>
      </c>
      <c r="T33" s="2" t="n">
        <v>52.41479</v>
      </c>
      <c r="U33" s="2" t="n">
        <v>4.8819</v>
      </c>
      <c r="V33" s="2" t="inlineStr">
        <is>
          <t>Neptunusstraat 2, Amsterdam</t>
        </is>
      </c>
      <c r="W33" s="2" t="inlineStr">
        <is>
          <t>Asfalt Schouw NOORD — 26 augustus 2026</t>
        </is>
      </c>
      <c r="X33" s="2" t="inlineStr">
        <is>
          <t>11/49</t>
        </is>
      </c>
      <c r="Y33" s="2" t="inlineStr">
        <is>
          <t>032-neptunusstraat.jpg</t>
        </is>
      </c>
      <c r="Z33" s="9" t="inlineStr">
        <is>
          <t>handgeschreven code "HB" in de kantlijn</t>
        </is>
      </c>
      <c r="AA33" s="9" t="inlineStr"/>
      <c r="AB33" s="2" t="inlineStr">
        <is>
          <t>SOK-AMS-NEPTUNUSSTRAAT</t>
        </is>
      </c>
      <c r="AC33" s="2" t="inlineStr"/>
      <c r="AD33" s="2" t="n">
        <v>3</v>
      </c>
    </row>
    <row r="34">
      <c r="A34" s="2" t="inlineStr">
        <is>
          <t>SOK-AMS-2026-033</t>
        </is>
      </c>
      <c r="B34" s="2" t="inlineStr">
        <is>
          <t>Hotbox werkzaamheden</t>
        </is>
      </c>
      <c r="C34" s="2" t="inlineStr">
        <is>
          <t>Neptunusstraat</t>
        </is>
      </c>
      <c r="D34" s="2" t="inlineStr">
        <is>
          <t>Tuindorp Oostzaan</t>
        </is>
      </c>
      <c r="E34" s="2" t="inlineStr">
        <is>
          <t>Neptunesstr nr. 14 + 18 4.35 x 0,40</t>
        </is>
      </c>
      <c r="F34" s="2" t="inlineStr">
        <is>
          <t>4,35 × 0,40 m  (samen 1,7 m²)</t>
        </is>
      </c>
      <c r="G34" s="2" t="n">
        <v>1</v>
      </c>
      <c r="H34" s="7" t="n">
        <v>4.35</v>
      </c>
      <c r="I34" s="7" t="n">
        <v>0.4</v>
      </c>
      <c r="J34" s="7" t="n">
        <v>1.74</v>
      </c>
      <c r="K34" s="2">
        <f>INDEX(Tarieven!$A$4:$E$7,MATCH($B34,Tarieven!$A$4:$A$7,0),2)</f>
        <v/>
      </c>
      <c r="L34" s="7">
        <f>IF($K34="plek",$G34,IF($K34="m1",$H34,$J34))</f>
        <v/>
      </c>
      <c r="M34" s="8">
        <f>INDEX(Tarieven!$A$4:$E$7,MATCH($B34,Tarieven!$A$4:$A$7,0),3)</f>
        <v/>
      </c>
      <c r="N34" s="8">
        <f>INDEX(Tarieven!$A$4:$E$7,MATCH($B34,Tarieven!$A$4:$A$7,0),4)</f>
        <v/>
      </c>
      <c r="O34" s="8">
        <f>IFERROR($L34*$M34,0)</f>
        <v/>
      </c>
      <c r="P34" s="8">
        <f>IFERROR($L34*$N34,0)</f>
        <v/>
      </c>
      <c r="Q34" s="2" t="inlineStr">
        <is>
          <t>normaal</t>
        </is>
      </c>
      <c r="R34" s="2" t="inlineStr">
        <is>
          <t>2026-06-10</t>
        </is>
      </c>
      <c r="S34" s="2" t="n">
        <v>24</v>
      </c>
      <c r="T34" s="2" t="n">
        <v>52.4152</v>
      </c>
      <c r="U34" s="2" t="n">
        <v>4.88243</v>
      </c>
      <c r="V34" s="2" t="inlineStr">
        <is>
          <t>Neptunusstraat 14, Amsterdam</t>
        </is>
      </c>
      <c r="W34" s="2" t="inlineStr">
        <is>
          <t>Asfalt Schouw NOORD — 26 augustus 2026</t>
        </is>
      </c>
      <c r="X34" s="2" t="inlineStr">
        <is>
          <t>12/49</t>
        </is>
      </c>
      <c r="Y34" s="2" t="inlineStr">
        <is>
          <t>033-neptunusstraat.jpg</t>
        </is>
      </c>
      <c r="Z34" s="9" t="inlineStr">
        <is>
          <t>handgeschreven code "HB" in de kantlijn</t>
        </is>
      </c>
      <c r="AA34" s="9" t="inlineStr"/>
      <c r="AB34" s="2" t="inlineStr">
        <is>
          <t>SOK-AMS-NEPTUNUSSTRAAT</t>
        </is>
      </c>
      <c r="AC34" s="2" t="inlineStr"/>
      <c r="AD34" s="2" t="n">
        <v>1</v>
      </c>
    </row>
    <row r="35">
      <c r="A35" s="2" t="inlineStr">
        <is>
          <t>SOK-AMS-2026-034</t>
        </is>
      </c>
      <c r="B35" s="2" t="inlineStr">
        <is>
          <t>Hotbox werkzaamheden</t>
        </is>
      </c>
      <c r="C35" s="2" t="inlineStr">
        <is>
          <t>Neptunusstraat</t>
        </is>
      </c>
      <c r="D35" s="2" t="inlineStr">
        <is>
          <t>Tuindorp Oostzaan</t>
        </is>
      </c>
      <c r="E35" s="2" t="inlineStr">
        <is>
          <t>Neptunusstr nr. 24 2.40 x 0.40</t>
        </is>
      </c>
      <c r="F35" s="2" t="inlineStr">
        <is>
          <t>2,40 × 0,40 m  (samen 1,0 m²)</t>
        </is>
      </c>
      <c r="G35" s="2" t="n">
        <v>1</v>
      </c>
      <c r="H35" s="7" t="n">
        <v>2.4</v>
      </c>
      <c r="I35" s="7" t="n">
        <v>0.4</v>
      </c>
      <c r="J35" s="7" t="n">
        <v>0.96</v>
      </c>
      <c r="K35" s="2">
        <f>INDEX(Tarieven!$A$4:$E$7,MATCH($B35,Tarieven!$A$4:$A$7,0),2)</f>
        <v/>
      </c>
      <c r="L35" s="7">
        <f>IF($K35="plek",$G35,IF($K35="m1",$H35,$J35))</f>
        <v/>
      </c>
      <c r="M35" s="8">
        <f>INDEX(Tarieven!$A$4:$E$7,MATCH($B35,Tarieven!$A$4:$A$7,0),3)</f>
        <v/>
      </c>
      <c r="N35" s="8">
        <f>INDEX(Tarieven!$A$4:$E$7,MATCH($B35,Tarieven!$A$4:$A$7,0),4)</f>
        <v/>
      </c>
      <c r="O35" s="8">
        <f>IFERROR($L35*$M35,0)</f>
        <v/>
      </c>
      <c r="P35" s="8">
        <f>IFERROR($L35*$N35,0)</f>
        <v/>
      </c>
      <c r="Q35" s="2" t="inlineStr">
        <is>
          <t>normaal</t>
        </is>
      </c>
      <c r="R35" s="2" t="inlineStr">
        <is>
          <t>2026-06-10</t>
        </is>
      </c>
      <c r="S35" s="2" t="n">
        <v>24</v>
      </c>
      <c r="T35" s="2" t="n">
        <v>52.41558</v>
      </c>
      <c r="U35" s="2" t="n">
        <v>4.88293</v>
      </c>
      <c r="V35" s="2" t="inlineStr">
        <is>
          <t>Neptunusstraat 24, Amsterdam</t>
        </is>
      </c>
      <c r="W35" s="2" t="inlineStr">
        <is>
          <t>Asfalt Schouw NOORD — 26 augustus 2026</t>
        </is>
      </c>
      <c r="X35" s="2" t="inlineStr">
        <is>
          <t>12/49</t>
        </is>
      </c>
      <c r="Y35" s="2" t="inlineStr">
        <is>
          <t>034-neptunusstraat.jpg</t>
        </is>
      </c>
      <c r="Z35" s="9" t="inlineStr">
        <is>
          <t>handgeschreven code "HB" in de kantlijn</t>
        </is>
      </c>
      <c r="AA35" s="9" t="inlineStr"/>
      <c r="AB35" s="2" t="inlineStr">
        <is>
          <t>SOK-AMS-NEPTUNUSSTRAAT</t>
        </is>
      </c>
      <c r="AC35" s="2" t="inlineStr"/>
      <c r="AD35" s="2" t="n">
        <v>1</v>
      </c>
    </row>
    <row r="36">
      <c r="A36" s="2" t="inlineStr">
        <is>
          <t>SOK-AMS-2026-035</t>
        </is>
      </c>
      <c r="B36" s="2" t="inlineStr">
        <is>
          <t>Hotbox werkzaamheden</t>
        </is>
      </c>
      <c r="C36" s="2" t="inlineStr">
        <is>
          <t>Neptunusstraat</t>
        </is>
      </c>
      <c r="D36" s="2" t="inlineStr">
        <is>
          <t>Tuindorp Oostzaan</t>
        </is>
      </c>
      <c r="E36" s="2" t="inlineStr">
        <is>
          <t>Neptunusstr nr. 30 tot Uranusstr 15.25 x 0.60</t>
        </is>
      </c>
      <c r="F36" s="2" t="inlineStr">
        <is>
          <t>15,25 × 0,60 m  (samen 9,2 m²)</t>
        </is>
      </c>
      <c r="G36" s="2" t="n">
        <v>1</v>
      </c>
      <c r="H36" s="7" t="n">
        <v>15.25</v>
      </c>
      <c r="I36" s="7" t="n">
        <v>0.6</v>
      </c>
      <c r="J36" s="7" t="n">
        <v>9.15</v>
      </c>
      <c r="K36" s="2">
        <f>INDEX(Tarieven!$A$4:$E$7,MATCH($B36,Tarieven!$A$4:$A$7,0),2)</f>
        <v/>
      </c>
      <c r="L36" s="7">
        <f>IF($K36="plek",$G36,IF($K36="m1",$H36,$J36))</f>
        <v/>
      </c>
      <c r="M36" s="8">
        <f>INDEX(Tarieven!$A$4:$E$7,MATCH($B36,Tarieven!$A$4:$A$7,0),3)</f>
        <v/>
      </c>
      <c r="N36" s="8">
        <f>INDEX(Tarieven!$A$4:$E$7,MATCH($B36,Tarieven!$A$4:$A$7,0),4)</f>
        <v/>
      </c>
      <c r="O36" s="8">
        <f>IFERROR($L36*$M36,0)</f>
        <v/>
      </c>
      <c r="P36" s="8">
        <f>IFERROR($L36*$N36,0)</f>
        <v/>
      </c>
      <c r="Q36" s="2" t="inlineStr">
        <is>
          <t>normaal</t>
        </is>
      </c>
      <c r="R36" s="2" t="inlineStr">
        <is>
          <t>2026-06-10</t>
        </is>
      </c>
      <c r="S36" s="2" t="n">
        <v>24</v>
      </c>
      <c r="T36" s="2" t="n">
        <v>52.41558</v>
      </c>
      <c r="U36" s="2" t="n">
        <v>4.88293</v>
      </c>
      <c r="V36" s="2" t="inlineStr">
        <is>
          <t>Neptunusstraat 24, Amsterdam</t>
        </is>
      </c>
      <c r="W36" s="2" t="inlineStr">
        <is>
          <t>Asfalt Schouw NOORD — 26 augustus 2026</t>
        </is>
      </c>
      <c r="X36" s="2" t="inlineStr">
        <is>
          <t>12/49</t>
        </is>
      </c>
      <c r="Y36" s="2" t="inlineStr">
        <is>
          <t>035-neptunusstraat.jpg</t>
        </is>
      </c>
      <c r="Z36" s="9" t="inlineStr">
        <is>
          <t>handgeschreven code "HB" in de kantlijn</t>
        </is>
      </c>
      <c r="AA36" s="9" t="inlineStr"/>
      <c r="AB36" s="2" t="inlineStr">
        <is>
          <t>SOK-AMS-NEPTUNUSSTRAAT</t>
        </is>
      </c>
      <c r="AC36" s="2" t="inlineStr"/>
      <c r="AD36" s="2" t="n">
        <v>1</v>
      </c>
    </row>
    <row r="37">
      <c r="A37" s="2" t="inlineStr">
        <is>
          <t>SOK-AMS-2026-036</t>
        </is>
      </c>
      <c r="B37" s="2" t="inlineStr">
        <is>
          <t>Asfalt machinaal</t>
        </is>
      </c>
      <c r="C37" s="2" t="inlineStr">
        <is>
          <t>Uranusstraat</t>
        </is>
      </c>
      <c r="D37" s="2" t="inlineStr">
        <is>
          <t>Tuindorp Oostzaan</t>
        </is>
      </c>
      <c r="E37" s="2" t="inlineStr">
        <is>
          <t>Uranusstr nr 32 tot nr. 10 62.50 x. 1 00 foto 1. Nr 1 tot Kometensingel 18 00 x 1.50 foto 2</t>
        </is>
      </c>
      <c r="F37" s="2" t="inlineStr"/>
      <c r="G37" s="2" t="n">
        <v>0</v>
      </c>
      <c r="H37" s="7" t="n"/>
      <c r="I37" s="7" t="n"/>
      <c r="J37" s="7" t="n"/>
      <c r="K37" s="2">
        <f>INDEX(Tarieven!$A$4:$E$7,MATCH($B37,Tarieven!$A$4:$A$7,0),2)</f>
        <v/>
      </c>
      <c r="L37" s="7">
        <f>IF($K37="plek",$G37,IF($K37="m1",$H37,$J37))</f>
        <v/>
      </c>
      <c r="M37" s="8">
        <f>INDEX(Tarieven!$A$4:$E$7,MATCH($B37,Tarieven!$A$4:$A$7,0),3)</f>
        <v/>
      </c>
      <c r="N37" s="8">
        <f>INDEX(Tarieven!$A$4:$E$7,MATCH($B37,Tarieven!$A$4:$A$7,0),4)</f>
        <v/>
      </c>
      <c r="O37" s="8">
        <f>IFERROR($L37*$M37,0)</f>
        <v/>
      </c>
      <c r="P37" s="8">
        <f>IFERROR($L37*$N37,0)</f>
        <v/>
      </c>
      <c r="Q37" s="2" t="inlineStr">
        <is>
          <t>normaal</t>
        </is>
      </c>
      <c r="R37" s="2" t="inlineStr">
        <is>
          <t>2026-06-10</t>
        </is>
      </c>
      <c r="S37" s="2" t="n">
        <v>24</v>
      </c>
      <c r="T37" s="2" t="n">
        <v>52.41574</v>
      </c>
      <c r="U37" s="2" t="n">
        <v>4.88308</v>
      </c>
      <c r="V37" s="2" t="inlineStr">
        <is>
          <t>Uranusstraat 31, Amsterdam</t>
        </is>
      </c>
      <c r="W37" s="2" t="inlineStr">
        <is>
          <t>Asfalt Schouw NOORD — 26 augustus 2026</t>
        </is>
      </c>
      <c r="X37" s="2" t="inlineStr">
        <is>
          <t>12/49</t>
        </is>
      </c>
      <c r="Y37" s="2" t="inlineStr">
        <is>
          <t>036-uranusstraat.jpg</t>
        </is>
      </c>
      <c r="Z37" s="9" t="inlineStr">
        <is>
          <t>handgeschreven code "AS" in de kantlijn</t>
        </is>
      </c>
      <c r="AA37" s="9" t="inlineStr">
        <is>
          <t>geen maatvoering in de bron</t>
        </is>
      </c>
      <c r="AB37" s="2" t="inlineStr">
        <is>
          <t>SOK-AMS-URANUSSTRAAT</t>
        </is>
      </c>
      <c r="AC37" s="2" t="inlineStr"/>
      <c r="AD37" s="2" t="n">
        <v>2</v>
      </c>
    </row>
    <row r="38">
      <c r="A38" s="2" t="inlineStr">
        <is>
          <t>SOK-AMS-2026-037</t>
        </is>
      </c>
      <c r="B38" s="2" t="inlineStr">
        <is>
          <t>Hotbox werkzaamheden</t>
        </is>
      </c>
      <c r="C38" s="2" t="inlineStr">
        <is>
          <t>Mercuriusstraat</t>
        </is>
      </c>
      <c r="D38" s="2" t="inlineStr">
        <is>
          <t>Tuindorp Oostzaan</t>
        </is>
      </c>
      <c r="E38" s="2" t="inlineStr">
        <is>
          <t>Mercuriusstr nr. 43. 9.00 x 1.50 + 2.90 x 0.90</t>
        </is>
      </c>
      <c r="F38" s="2" t="inlineStr">
        <is>
          <t>9,00 × 1,50 m + 2,90 × 0,90 m  (samen 16,1 m²)</t>
        </is>
      </c>
      <c r="G38" s="2" t="n">
        <v>2</v>
      </c>
      <c r="H38" s="7" t="n">
        <v>11.9</v>
      </c>
      <c r="I38" s="7" t="n">
        <v>0.9</v>
      </c>
      <c r="J38" s="7" t="n">
        <v>16.11</v>
      </c>
      <c r="K38" s="2">
        <f>INDEX(Tarieven!$A$4:$E$7,MATCH($B38,Tarieven!$A$4:$A$7,0),2)</f>
        <v/>
      </c>
      <c r="L38" s="7">
        <f>IF($K38="plek",$G38,IF($K38="m1",$H38,$J38))</f>
        <v/>
      </c>
      <c r="M38" s="8">
        <f>INDEX(Tarieven!$A$4:$E$7,MATCH($B38,Tarieven!$A$4:$A$7,0),3)</f>
        <v/>
      </c>
      <c r="N38" s="8">
        <f>INDEX(Tarieven!$A$4:$E$7,MATCH($B38,Tarieven!$A$4:$A$7,0),4)</f>
        <v/>
      </c>
      <c r="O38" s="8">
        <f>IFERROR($L38*$M38,0)</f>
        <v/>
      </c>
      <c r="P38" s="8">
        <f>IFERROR($L38*$N38,0)</f>
        <v/>
      </c>
      <c r="Q38" s="2" t="inlineStr">
        <is>
          <t>normaal</t>
        </is>
      </c>
      <c r="R38" s="2" t="inlineStr">
        <is>
          <t>2026-06-10</t>
        </is>
      </c>
      <c r="S38" s="2" t="n">
        <v>24</v>
      </c>
      <c r="T38" s="2" t="n">
        <v>52.41507</v>
      </c>
      <c r="U38" s="2" t="n">
        <v>4.88429</v>
      </c>
      <c r="V38" s="2" t="inlineStr">
        <is>
          <t>Kometensingel 209, Amsterdam</t>
        </is>
      </c>
      <c r="W38" s="2" t="inlineStr">
        <is>
          <t>Asfalt Schouw NOORD — 26 augustus 2026</t>
        </is>
      </c>
      <c r="X38" s="2" t="inlineStr">
        <is>
          <t>13/49</t>
        </is>
      </c>
      <c r="Y38" s="2" t="inlineStr">
        <is>
          <t>037-mercuriusstraat.jpg</t>
        </is>
      </c>
      <c r="Z38" s="9" t="inlineStr">
        <is>
          <t>handgeschreven code "HB" in de kantlijn</t>
        </is>
      </c>
      <c r="AA38" s="9" t="inlineStr"/>
      <c r="AB38" s="2" t="inlineStr">
        <is>
          <t>SOK-AMS-MERCURIUSSTRAAT</t>
        </is>
      </c>
      <c r="AC38" s="2" t="inlineStr"/>
      <c r="AD38" s="2" t="n">
        <v>2</v>
      </c>
    </row>
    <row r="39">
      <c r="A39" s="2" t="inlineStr">
        <is>
          <t>SOK-AMS-2026-038</t>
        </is>
      </c>
      <c r="B39" s="2" t="inlineStr">
        <is>
          <t>Hotbox werkzaamheden</t>
        </is>
      </c>
      <c r="C39" s="2" t="inlineStr">
        <is>
          <t>Saturnusstraat</t>
        </is>
      </c>
      <c r="D39" s="2" t="inlineStr">
        <is>
          <t>Tuindorp Oostzaan</t>
        </is>
      </c>
      <c r="E39" s="2" t="inlineStr">
        <is>
          <t>Saturnusstr nr. 1. 10.80 x 1.70 + 7.85 x 0.80</t>
        </is>
      </c>
      <c r="F39" s="2" t="inlineStr">
        <is>
          <t>10,80 × 1,70 m + 7,85 × 0,80 m  (samen 24,6 m²)</t>
        </is>
      </c>
      <c r="G39" s="2" t="n">
        <v>2</v>
      </c>
      <c r="H39" s="7" t="n">
        <v>18.65</v>
      </c>
      <c r="I39" s="7" t="n">
        <v>0.8</v>
      </c>
      <c r="J39" s="7" t="n">
        <v>24.64</v>
      </c>
      <c r="K39" s="2">
        <f>INDEX(Tarieven!$A$4:$E$7,MATCH($B39,Tarieven!$A$4:$A$7,0),2)</f>
        <v/>
      </c>
      <c r="L39" s="7">
        <f>IF($K39="plek",$G39,IF($K39="m1",$H39,$J39))</f>
        <v/>
      </c>
      <c r="M39" s="8">
        <f>INDEX(Tarieven!$A$4:$E$7,MATCH($B39,Tarieven!$A$4:$A$7,0),3)</f>
        <v/>
      </c>
      <c r="N39" s="8">
        <f>INDEX(Tarieven!$A$4:$E$7,MATCH($B39,Tarieven!$A$4:$A$7,0),4)</f>
        <v/>
      </c>
      <c r="O39" s="8">
        <f>IFERROR($L39*$M39,0)</f>
        <v/>
      </c>
      <c r="P39" s="8">
        <f>IFERROR($L39*$N39,0)</f>
        <v/>
      </c>
      <c r="Q39" s="2" t="inlineStr">
        <is>
          <t>normaal</t>
        </is>
      </c>
      <c r="R39" s="2" t="inlineStr">
        <is>
          <t>2026-06-10</t>
        </is>
      </c>
      <c r="S39" s="2" t="n">
        <v>24</v>
      </c>
      <c r="T39" s="2" t="n">
        <v>52.41518</v>
      </c>
      <c r="U39" s="2" t="n">
        <v>4.88411</v>
      </c>
      <c r="V39" s="2" t="inlineStr">
        <is>
          <t>Mercuriusstraat 43, Amsterdam</t>
        </is>
      </c>
      <c r="W39" s="2" t="inlineStr">
        <is>
          <t>Asfalt Schouw NOORD — 26 augustus 2026</t>
        </is>
      </c>
      <c r="X39" s="2" t="inlineStr">
        <is>
          <t>13/49</t>
        </is>
      </c>
      <c r="Y39" s="2" t="inlineStr">
        <is>
          <t>038-saturnusstraat.jpg</t>
        </is>
      </c>
      <c r="Z39" s="9" t="inlineStr">
        <is>
          <t>handgeschreven code "HB" in de kantlijn</t>
        </is>
      </c>
      <c r="AA39" s="9" t="inlineStr"/>
      <c r="AB39" s="2" t="inlineStr">
        <is>
          <t>SOK-AMS-SATURNUSSTRAAT</t>
        </is>
      </c>
      <c r="AC39" s="2" t="inlineStr"/>
      <c r="AD39" s="2" t="n">
        <v>2</v>
      </c>
    </row>
    <row r="40">
      <c r="A40" s="2" t="inlineStr">
        <is>
          <t>SOK-AMS-2026-039</t>
        </is>
      </c>
      <c r="B40" s="2" t="inlineStr">
        <is>
          <t>Hotbox werkzaamheden</t>
        </is>
      </c>
      <c r="C40" s="2" t="inlineStr">
        <is>
          <t>Marsstraat</t>
        </is>
      </c>
      <c r="D40" s="2" t="inlineStr">
        <is>
          <t>Tuindorp Oostzaan</t>
        </is>
      </c>
      <c r="E40" s="2" t="inlineStr">
        <is>
          <t>Marsstr nr. 18 2x 2.20 x 0.45</t>
        </is>
      </c>
      <c r="F40" s="2" t="inlineStr">
        <is>
          <t>2× 2,20 × 0,45 m  (samen 2,0 m²)</t>
        </is>
      </c>
      <c r="G40" s="2" t="n">
        <v>2</v>
      </c>
      <c r="H40" s="7" t="n">
        <v>4.4</v>
      </c>
      <c r="I40" s="7" t="n">
        <v>0.45</v>
      </c>
      <c r="J40" s="7" t="n">
        <v>1.98</v>
      </c>
      <c r="K40" s="2">
        <f>INDEX(Tarieven!$A$4:$E$7,MATCH($B40,Tarieven!$A$4:$A$7,0),2)</f>
        <v/>
      </c>
      <c r="L40" s="7">
        <f>IF($K40="plek",$G40,IF($K40="m1",$H40,$J40))</f>
        <v/>
      </c>
      <c r="M40" s="8">
        <f>INDEX(Tarieven!$A$4:$E$7,MATCH($B40,Tarieven!$A$4:$A$7,0),3)</f>
        <v/>
      </c>
      <c r="N40" s="8">
        <f>INDEX(Tarieven!$A$4:$E$7,MATCH($B40,Tarieven!$A$4:$A$7,0),4)</f>
        <v/>
      </c>
      <c r="O40" s="8">
        <f>IFERROR($L40*$M40,0)</f>
        <v/>
      </c>
      <c r="P40" s="8">
        <f>IFERROR($L40*$N40,0)</f>
        <v/>
      </c>
      <c r="Q40" s="2" t="inlineStr">
        <is>
          <t>normaal</t>
        </is>
      </c>
      <c r="R40" s="2" t="inlineStr">
        <is>
          <t>2026-07-20</t>
        </is>
      </c>
      <c r="S40" s="2" t="n">
        <v>30</v>
      </c>
      <c r="T40" s="2" t="n">
        <v>52.41504</v>
      </c>
      <c r="U40" s="2" t="n">
        <v>4.88235</v>
      </c>
      <c r="V40" s="2" t="inlineStr">
        <is>
          <t>Marsstraat 20, Amsterdam</t>
        </is>
      </c>
      <c r="W40" s="2" t="inlineStr">
        <is>
          <t>Asfalt Schouw NOORD — 26 augustus 2026</t>
        </is>
      </c>
      <c r="X40" s="2" t="inlineStr">
        <is>
          <t>14/49</t>
        </is>
      </c>
      <c r="Y40" s="2" t="inlineStr">
        <is>
          <t>039-marsstraat.jpg</t>
        </is>
      </c>
      <c r="Z40" s="9" t="inlineStr">
        <is>
          <t>handgeschreven code "HB" in de kantlijn</t>
        </is>
      </c>
      <c r="AA40" s="9" t="inlineStr"/>
      <c r="AB40" s="2" t="inlineStr">
        <is>
          <t>SOK-AMS-MARSSTRAAT</t>
        </is>
      </c>
      <c r="AC40" s="2" t="inlineStr"/>
      <c r="AD40" s="2" t="n">
        <v>2</v>
      </c>
    </row>
    <row r="41">
      <c r="A41" s="2" t="inlineStr">
        <is>
          <t>SOK-AMS-2026-040</t>
        </is>
      </c>
      <c r="B41" s="2" t="inlineStr">
        <is>
          <t>Hotbox werkzaamheden</t>
        </is>
      </c>
      <c r="C41" s="2" t="inlineStr">
        <is>
          <t>Marsstraat</t>
        </is>
      </c>
      <c r="D41" s="2" t="inlineStr">
        <is>
          <t>Tuindorp Oostzaan</t>
        </is>
      </c>
      <c r="E41" s="2" t="inlineStr">
        <is>
          <t>Marsstr nr. 2. 6.75 x 1.20</t>
        </is>
      </c>
      <c r="F41" s="2" t="inlineStr">
        <is>
          <t>6,75 × 1,20 m  (samen 8,1 m²)</t>
        </is>
      </c>
      <c r="G41" s="2" t="n">
        <v>1</v>
      </c>
      <c r="H41" s="7" t="n">
        <v>6.75</v>
      </c>
      <c r="I41" s="7" t="n">
        <v>1.2</v>
      </c>
      <c r="J41" s="7" t="n">
        <v>8.1</v>
      </c>
      <c r="K41" s="2">
        <f>INDEX(Tarieven!$A$4:$E$7,MATCH($B41,Tarieven!$A$4:$A$7,0),2)</f>
        <v/>
      </c>
      <c r="L41" s="7">
        <f>IF($K41="plek",$G41,IF($K41="m1",$H41,$J41))</f>
        <v/>
      </c>
      <c r="M41" s="8">
        <f>INDEX(Tarieven!$A$4:$E$7,MATCH($B41,Tarieven!$A$4:$A$7,0),3)</f>
        <v/>
      </c>
      <c r="N41" s="8">
        <f>INDEX(Tarieven!$A$4:$E$7,MATCH($B41,Tarieven!$A$4:$A$7,0),4)</f>
        <v/>
      </c>
      <c r="O41" s="8">
        <f>IFERROR($L41*$M41,0)</f>
        <v/>
      </c>
      <c r="P41" s="8">
        <f>IFERROR($L41*$N41,0)</f>
        <v/>
      </c>
      <c r="Q41" s="2" t="inlineStr">
        <is>
          <t>normaal</t>
        </is>
      </c>
      <c r="R41" s="2" t="inlineStr">
        <is>
          <t>2026-07-20</t>
        </is>
      </c>
      <c r="S41" s="2" t="n">
        <v>30</v>
      </c>
      <c r="T41" s="2" t="n">
        <v>52.41461</v>
      </c>
      <c r="U41" s="2" t="n">
        <v>4.8834</v>
      </c>
      <c r="V41" s="2" t="inlineStr">
        <is>
          <t>Mercuriusstraat 17, Amsterdam</t>
        </is>
      </c>
      <c r="W41" s="2" t="inlineStr">
        <is>
          <t>Asfalt Schouw NOORD — 26 augustus 2026</t>
        </is>
      </c>
      <c r="X41" s="2" t="inlineStr">
        <is>
          <t>14/49</t>
        </is>
      </c>
      <c r="Y41" s="2" t="inlineStr">
        <is>
          <t>040-marsstraat.jpg</t>
        </is>
      </c>
      <c r="Z41" s="9" t="inlineStr">
        <is>
          <t>handgeschreven code "HB" in de kantlijn</t>
        </is>
      </c>
      <c r="AA41" s="9" t="inlineStr"/>
      <c r="AB41" s="2" t="inlineStr">
        <is>
          <t>SOK-AMS-MARSSTRAAT</t>
        </is>
      </c>
      <c r="AC41" s="2" t="inlineStr"/>
      <c r="AD41" s="2" t="n">
        <v>2</v>
      </c>
    </row>
    <row r="42">
      <c r="A42" s="2" t="inlineStr">
        <is>
          <t>SOK-AMS-2026-041</t>
        </is>
      </c>
      <c r="B42" s="2" t="inlineStr">
        <is>
          <t>Hotbox werkzaamheden</t>
        </is>
      </c>
      <c r="C42" s="2" t="inlineStr">
        <is>
          <t>Marsstraat</t>
        </is>
      </c>
      <c r="D42" s="2" t="inlineStr">
        <is>
          <t>Tuindorp Oostzaan</t>
        </is>
      </c>
      <c r="E42" s="2" t="inlineStr">
        <is>
          <t>V/a Marsstr tot Saturnstr 18.15 x 0.70</t>
        </is>
      </c>
      <c r="F42" s="2" t="inlineStr">
        <is>
          <t>18,15 × 0,70 m  (samen 12,7 m²)</t>
        </is>
      </c>
      <c r="G42" s="2" t="n">
        <v>1</v>
      </c>
      <c r="H42" s="7" t="n">
        <v>18.15</v>
      </c>
      <c r="I42" s="7" t="n">
        <v>0.7</v>
      </c>
      <c r="J42" s="7" t="n">
        <v>12.7</v>
      </c>
      <c r="K42" s="2">
        <f>INDEX(Tarieven!$A$4:$E$7,MATCH($B42,Tarieven!$A$4:$A$7,0),2)</f>
        <v/>
      </c>
      <c r="L42" s="7">
        <f>IF($K42="plek",$G42,IF($K42="m1",$H42,$J42))</f>
        <v/>
      </c>
      <c r="M42" s="8">
        <f>INDEX(Tarieven!$A$4:$E$7,MATCH($B42,Tarieven!$A$4:$A$7,0),3)</f>
        <v/>
      </c>
      <c r="N42" s="8">
        <f>INDEX(Tarieven!$A$4:$E$7,MATCH($B42,Tarieven!$A$4:$A$7,0),4)</f>
        <v/>
      </c>
      <c r="O42" s="8">
        <f>IFERROR($L42*$M42,0)</f>
        <v/>
      </c>
      <c r="P42" s="8">
        <f>IFERROR($L42*$N42,0)</f>
        <v/>
      </c>
      <c r="Q42" s="2" t="inlineStr">
        <is>
          <t>normaal</t>
        </is>
      </c>
      <c r="R42" s="2" t="inlineStr">
        <is>
          <t>2026-07-20</t>
        </is>
      </c>
      <c r="S42" s="2" t="n">
        <v>30</v>
      </c>
      <c r="T42" s="2" t="n">
        <v>52.41526</v>
      </c>
      <c r="U42" s="2" t="n">
        <v>4.88336</v>
      </c>
      <c r="V42" s="2" t="inlineStr">
        <is>
          <t>Saturnusstraat 14, Amsterdam</t>
        </is>
      </c>
      <c r="W42" s="2" t="inlineStr">
        <is>
          <t>Asfalt Schouw NOORD — 26 augustus 2026</t>
        </is>
      </c>
      <c r="X42" s="2" t="inlineStr">
        <is>
          <t>14/49</t>
        </is>
      </c>
      <c r="Y42" s="2" t="inlineStr">
        <is>
          <t>041-marsstraat.jpg</t>
        </is>
      </c>
      <c r="Z42" s="9" t="inlineStr">
        <is>
          <t>handgeschreven code "HB" in de kantlijn</t>
        </is>
      </c>
      <c r="AA42" s="9" t="inlineStr"/>
      <c r="AB42" s="2" t="inlineStr">
        <is>
          <t>SOK-AMS-MARSSTRAAT</t>
        </is>
      </c>
      <c r="AC42" s="2" t="inlineStr"/>
      <c r="AD42" s="2" t="n">
        <v>2</v>
      </c>
    </row>
    <row r="43">
      <c r="A43" s="2" t="inlineStr">
        <is>
          <t>SOK-AMS-2026-042</t>
        </is>
      </c>
      <c r="B43" s="2" t="inlineStr">
        <is>
          <t>Asfalt machinaal</t>
        </is>
      </c>
      <c r="C43" s="2" t="inlineStr">
        <is>
          <t>Saturnusstraat</t>
        </is>
      </c>
      <c r="D43" s="2" t="inlineStr">
        <is>
          <t>Tuindorp Oostzaan</t>
        </is>
      </c>
      <c r="E43" s="2" t="inlineStr">
        <is>
          <t>Saturnusstr v/a nr. 16 tot nr. 28 38.00 x 1.60</t>
        </is>
      </c>
      <c r="F43" s="2" t="inlineStr">
        <is>
          <t>38,00 × 1,60 m  (samen 60,8 m²)</t>
        </is>
      </c>
      <c r="G43" s="2" t="n">
        <v>1</v>
      </c>
      <c r="H43" s="7" t="n">
        <v>38</v>
      </c>
      <c r="I43" s="7" t="n">
        <v>1.6</v>
      </c>
      <c r="J43" s="7" t="n">
        <v>60.8</v>
      </c>
      <c r="K43" s="2">
        <f>INDEX(Tarieven!$A$4:$E$7,MATCH($B43,Tarieven!$A$4:$A$7,0),2)</f>
        <v/>
      </c>
      <c r="L43" s="7">
        <f>IF($K43="plek",$G43,IF($K43="m1",$H43,$J43))</f>
        <v/>
      </c>
      <c r="M43" s="8">
        <f>INDEX(Tarieven!$A$4:$E$7,MATCH($B43,Tarieven!$A$4:$A$7,0),3)</f>
        <v/>
      </c>
      <c r="N43" s="8">
        <f>INDEX(Tarieven!$A$4:$E$7,MATCH($B43,Tarieven!$A$4:$A$7,0),4)</f>
        <v/>
      </c>
      <c r="O43" s="8">
        <f>IFERROR($L43*$M43,0)</f>
        <v/>
      </c>
      <c r="P43" s="8">
        <f>IFERROR($L43*$N43,0)</f>
        <v/>
      </c>
      <c r="Q43" s="2" t="inlineStr">
        <is>
          <t>normaal</t>
        </is>
      </c>
      <c r="R43" s="2" t="inlineStr">
        <is>
          <t>2026-07-20</t>
        </is>
      </c>
      <c r="S43" s="2" t="n">
        <v>30</v>
      </c>
      <c r="T43" s="2" t="n">
        <v>52.41536</v>
      </c>
      <c r="U43" s="2" t="n">
        <v>4.88317</v>
      </c>
      <c r="V43" s="2" t="inlineStr">
        <is>
          <t>Saturnusstraat 20, Amsterdam</t>
        </is>
      </c>
      <c r="W43" s="2" t="inlineStr">
        <is>
          <t>Asfalt Schouw NOORD — 26 augustus 2026</t>
        </is>
      </c>
      <c r="X43" s="2" t="inlineStr">
        <is>
          <t>15/49</t>
        </is>
      </c>
      <c r="Y43" s="2" t="inlineStr">
        <is>
          <t>042-saturnusstraat.jpg</t>
        </is>
      </c>
      <c r="Z43" s="9" t="inlineStr">
        <is>
          <t>handgeschreven code "AS" in de kantlijn</t>
        </is>
      </c>
      <c r="AA43" s="9" t="inlineStr"/>
      <c r="AB43" s="2" t="inlineStr">
        <is>
          <t>SOK-AMS-SATURNUSSTRAAT</t>
        </is>
      </c>
      <c r="AC43" s="2" t="inlineStr"/>
      <c r="AD43" s="2" t="n">
        <v>2</v>
      </c>
    </row>
    <row r="44">
      <c r="A44" s="2" t="inlineStr">
        <is>
          <t>SOK-AMS-2026-043</t>
        </is>
      </c>
      <c r="B44" s="2" t="inlineStr">
        <is>
          <t>Hotbox werkzaamheden</t>
        </is>
      </c>
      <c r="C44" s="2" t="inlineStr">
        <is>
          <t>Jupiterstraat</t>
        </is>
      </c>
      <c r="D44" s="2" t="inlineStr">
        <is>
          <t>Tuindorp Oostzaan</t>
        </is>
      </c>
      <c r="E44" s="2" t="inlineStr">
        <is>
          <t>Jupiterstr v/a Saturnusstr 12.60 x 0.60</t>
        </is>
      </c>
      <c r="F44" s="2" t="inlineStr">
        <is>
          <t>12,60 × 0,60 m  (samen 7,6 m²)</t>
        </is>
      </c>
      <c r="G44" s="2" t="n">
        <v>1</v>
      </c>
      <c r="H44" s="7" t="n">
        <v>12.6</v>
      </c>
      <c r="I44" s="7" t="n">
        <v>0.6</v>
      </c>
      <c r="J44" s="7" t="n">
        <v>7.56</v>
      </c>
      <c r="K44" s="2">
        <f>INDEX(Tarieven!$A$4:$E$7,MATCH($B44,Tarieven!$A$4:$A$7,0),2)</f>
        <v/>
      </c>
      <c r="L44" s="7">
        <f>IF($K44="plek",$G44,IF($K44="m1",$H44,$J44))</f>
        <v/>
      </c>
      <c r="M44" s="8">
        <f>INDEX(Tarieven!$A$4:$E$7,MATCH($B44,Tarieven!$A$4:$A$7,0),3)</f>
        <v/>
      </c>
      <c r="N44" s="8">
        <f>INDEX(Tarieven!$A$4:$E$7,MATCH($B44,Tarieven!$A$4:$A$7,0),4)</f>
        <v/>
      </c>
      <c r="O44" s="8">
        <f>IFERROR($L44*$M44,0)</f>
        <v/>
      </c>
      <c r="P44" s="8">
        <f>IFERROR($L44*$N44,0)</f>
        <v/>
      </c>
      <c r="Q44" s="2" t="inlineStr">
        <is>
          <t>normaal</t>
        </is>
      </c>
      <c r="R44" s="2" t="inlineStr">
        <is>
          <t>2026-07-20</t>
        </is>
      </c>
      <c r="S44" s="2" t="n">
        <v>30</v>
      </c>
      <c r="T44" s="2" t="n">
        <v>52.41504</v>
      </c>
      <c r="U44" s="2" t="n">
        <v>4.88314</v>
      </c>
      <c r="V44" s="2" t="inlineStr">
        <is>
          <t>Jupiterstraat 12, Amsterdam</t>
        </is>
      </c>
      <c r="W44" s="2" t="inlineStr">
        <is>
          <t>Asfalt Schouw NOORD — 26 augustus 2026</t>
        </is>
      </c>
      <c r="X44" s="2" t="inlineStr">
        <is>
          <t>15/49</t>
        </is>
      </c>
      <c r="Y44" s="2" t="inlineStr">
        <is>
          <t>043-jupiterstraat.jpg</t>
        </is>
      </c>
      <c r="Z44" s="9" t="inlineStr">
        <is>
          <t>handgeschreven code "HB" in de kantlijn</t>
        </is>
      </c>
      <c r="AA44" s="9" t="inlineStr"/>
      <c r="AB44" s="2" t="inlineStr">
        <is>
          <t>SOK-AMS-JUPITERSTRAAT</t>
        </is>
      </c>
      <c r="AC44" s="2" t="inlineStr"/>
      <c r="AD44" s="2" t="n">
        <v>2</v>
      </c>
    </row>
    <row r="45">
      <c r="A45" s="2" t="inlineStr">
        <is>
          <t>SOK-AMS-2026-044</t>
        </is>
      </c>
      <c r="B45" s="2" t="inlineStr">
        <is>
          <t>Hotbox werkzaamheden</t>
        </is>
      </c>
      <c r="C45" s="2" t="inlineStr">
        <is>
          <t>Uranusstraat</t>
        </is>
      </c>
      <c r="D45" s="2" t="inlineStr">
        <is>
          <t>Tuindorp Oostzaan</t>
        </is>
      </c>
      <c r="E45" s="2" t="inlineStr">
        <is>
          <t>Uranusstr v/a nr. 1 t/m Kometensingel 19.05 x 1.10</t>
        </is>
      </c>
      <c r="F45" s="2" t="inlineStr">
        <is>
          <t>19,05 × 1,10 m  (samen 21,0 m²)</t>
        </is>
      </c>
      <c r="G45" s="2" t="n">
        <v>1</v>
      </c>
      <c r="H45" s="7" t="n">
        <v>19.05</v>
      </c>
      <c r="I45" s="7" t="n">
        <v>1.1</v>
      </c>
      <c r="J45" s="7" t="n">
        <v>20.96</v>
      </c>
      <c r="K45" s="2">
        <f>INDEX(Tarieven!$A$4:$E$7,MATCH($B45,Tarieven!$A$4:$A$7,0),2)</f>
        <v/>
      </c>
      <c r="L45" s="7">
        <f>IF($K45="plek",$G45,IF($K45="m1",$H45,$J45))</f>
        <v/>
      </c>
      <c r="M45" s="8">
        <f>INDEX(Tarieven!$A$4:$E$7,MATCH($B45,Tarieven!$A$4:$A$7,0),3)</f>
        <v/>
      </c>
      <c r="N45" s="8">
        <f>INDEX(Tarieven!$A$4:$E$7,MATCH($B45,Tarieven!$A$4:$A$7,0),4)</f>
        <v/>
      </c>
      <c r="O45" s="8">
        <f>IFERROR($L45*$M45,0)</f>
        <v/>
      </c>
      <c r="P45" s="8">
        <f>IFERROR($L45*$N45,0)</f>
        <v/>
      </c>
      <c r="Q45" s="2" t="inlineStr">
        <is>
          <t>normaal</t>
        </is>
      </c>
      <c r="R45" s="2" t="inlineStr">
        <is>
          <t>2026-07-20</t>
        </is>
      </c>
      <c r="S45" s="2" t="n">
        <v>30</v>
      </c>
      <c r="T45" s="2" t="n">
        <v>52.4154</v>
      </c>
      <c r="U45" s="2" t="n">
        <v>4.88425</v>
      </c>
      <c r="V45" s="2" t="inlineStr">
        <is>
          <t>Uranusstraat 2, Amsterdam</t>
        </is>
      </c>
      <c r="W45" s="2" t="inlineStr">
        <is>
          <t>Asfalt Schouw NOORD — 26 augustus 2026</t>
        </is>
      </c>
      <c r="X45" s="2" t="inlineStr">
        <is>
          <t>15/49</t>
        </is>
      </c>
      <c r="Y45" s="2" t="inlineStr">
        <is>
          <t>044-uranusstraat.jpg</t>
        </is>
      </c>
      <c r="Z45" s="9" t="inlineStr">
        <is>
          <t>handgeschreven code "HB" in de kantlijn</t>
        </is>
      </c>
      <c r="AA45" s="9" t="inlineStr"/>
      <c r="AB45" s="2" t="inlineStr">
        <is>
          <t>SOK-AMS-URANUSSTRAAT</t>
        </is>
      </c>
      <c r="AC45" s="2" t="inlineStr"/>
      <c r="AD45" s="2" t="n">
        <v>2</v>
      </c>
    </row>
    <row r="46">
      <c r="A46" s="2" t="inlineStr">
        <is>
          <t>SOK-AMS-2026-045</t>
        </is>
      </c>
      <c r="B46" s="2" t="inlineStr">
        <is>
          <t>Hotbox werkzaamheden</t>
        </is>
      </c>
      <c r="C46" s="2" t="inlineStr">
        <is>
          <t>Kometensingel</t>
        </is>
      </c>
      <c r="D46" s="2" t="inlineStr">
        <is>
          <t>Tuindorp Oostzaan</t>
        </is>
      </c>
      <c r="E46" s="2" t="inlineStr">
        <is>
          <t>Kometensingel t/o nr. 209 9.55 x 0.90</t>
        </is>
      </c>
      <c r="F46" s="2" t="inlineStr">
        <is>
          <t>9,55 × 0,90 m  (samen 8,6 m²)</t>
        </is>
      </c>
      <c r="G46" s="2" t="n">
        <v>1</v>
      </c>
      <c r="H46" s="7" t="n">
        <v>9.550000000000001</v>
      </c>
      <c r="I46" s="7" t="n">
        <v>0.9</v>
      </c>
      <c r="J46" s="7" t="n">
        <v>8.6</v>
      </c>
      <c r="K46" s="2">
        <f>INDEX(Tarieven!$A$4:$E$7,MATCH($B46,Tarieven!$A$4:$A$7,0),2)</f>
        <v/>
      </c>
      <c r="L46" s="7">
        <f>IF($K46="plek",$G46,IF($K46="m1",$H46,$J46))</f>
        <v/>
      </c>
      <c r="M46" s="8">
        <f>INDEX(Tarieven!$A$4:$E$7,MATCH($B46,Tarieven!$A$4:$A$7,0),3)</f>
        <v/>
      </c>
      <c r="N46" s="8">
        <f>INDEX(Tarieven!$A$4:$E$7,MATCH($B46,Tarieven!$A$4:$A$7,0),4)</f>
        <v/>
      </c>
      <c r="O46" s="8">
        <f>IFERROR($L46*$M46,0)</f>
        <v/>
      </c>
      <c r="P46" s="8">
        <f>IFERROR($L46*$N46,0)</f>
        <v/>
      </c>
      <c r="Q46" s="2" t="inlineStr">
        <is>
          <t>normaal</t>
        </is>
      </c>
      <c r="R46" s="2" t="inlineStr">
        <is>
          <t>2026-07-20</t>
        </is>
      </c>
      <c r="S46" s="2" t="n">
        <v>30</v>
      </c>
      <c r="T46" s="2" t="n">
        <v>52.41507</v>
      </c>
      <c r="U46" s="2" t="n">
        <v>4.88429</v>
      </c>
      <c r="V46" s="2" t="inlineStr">
        <is>
          <t>Kometensingel 209, Amsterdam</t>
        </is>
      </c>
      <c r="W46" s="2" t="inlineStr">
        <is>
          <t>Asfalt Schouw NOORD — 26 augustus 2026</t>
        </is>
      </c>
      <c r="X46" s="2" t="inlineStr">
        <is>
          <t>16/49</t>
        </is>
      </c>
      <c r="Y46" s="2" t="inlineStr">
        <is>
          <t>045-kometensingel.jpg</t>
        </is>
      </c>
      <c r="Z46" s="9" t="inlineStr">
        <is>
          <t>handgeschreven code "HB" in de kantlijn</t>
        </is>
      </c>
      <c r="AA46" s="9" t="inlineStr"/>
      <c r="AB46" s="2" t="inlineStr">
        <is>
          <t>SOK-AMS-KOMETENSINGEL</t>
        </is>
      </c>
      <c r="AC46" s="2" t="inlineStr"/>
      <c r="AD46" s="2" t="n">
        <v>2</v>
      </c>
    </row>
    <row r="47">
      <c r="A47" s="2" t="inlineStr">
        <is>
          <t>SOK-AMS-2026-046</t>
        </is>
      </c>
      <c r="B47" s="2" t="inlineStr">
        <is>
          <t>Hotbox werkzaamheden</t>
        </is>
      </c>
      <c r="C47" s="2" t="inlineStr">
        <is>
          <t>Mercuriusstraat</t>
        </is>
      </c>
      <c r="D47" s="2" t="inlineStr">
        <is>
          <t>Tuindorp Oostzaan</t>
        </is>
      </c>
      <c r="E47" s="2" t="inlineStr">
        <is>
          <t>Mercuriusstr nr. 17 9.70 x 1.30</t>
        </is>
      </c>
      <c r="F47" s="2" t="inlineStr">
        <is>
          <t>9,70 × 1,30 m  (samen 12,6 m²)</t>
        </is>
      </c>
      <c r="G47" s="2" t="n">
        <v>1</v>
      </c>
      <c r="H47" s="7" t="n">
        <v>9.699999999999999</v>
      </c>
      <c r="I47" s="7" t="n">
        <v>1.3</v>
      </c>
      <c r="J47" s="7" t="n">
        <v>12.61</v>
      </c>
      <c r="K47" s="2">
        <f>INDEX(Tarieven!$A$4:$E$7,MATCH($B47,Tarieven!$A$4:$A$7,0),2)</f>
        <v/>
      </c>
      <c r="L47" s="7">
        <f>IF($K47="plek",$G47,IF($K47="m1",$H47,$J47))</f>
        <v/>
      </c>
      <c r="M47" s="8">
        <f>INDEX(Tarieven!$A$4:$E$7,MATCH($B47,Tarieven!$A$4:$A$7,0),3)</f>
        <v/>
      </c>
      <c r="N47" s="8">
        <f>INDEX(Tarieven!$A$4:$E$7,MATCH($B47,Tarieven!$A$4:$A$7,0),4)</f>
        <v/>
      </c>
      <c r="O47" s="8">
        <f>IFERROR($L47*$M47,0)</f>
        <v/>
      </c>
      <c r="P47" s="8">
        <f>IFERROR($L47*$N47,0)</f>
        <v/>
      </c>
      <c r="Q47" s="2" t="inlineStr">
        <is>
          <t>normaal</t>
        </is>
      </c>
      <c r="R47" s="2" t="inlineStr">
        <is>
          <t>2026-07-20</t>
        </is>
      </c>
      <c r="S47" s="2" t="n">
        <v>30</v>
      </c>
      <c r="T47" s="2" t="n">
        <v>52.41448</v>
      </c>
      <c r="U47" s="2" t="n">
        <v>4.88356</v>
      </c>
      <c r="V47" s="2" t="inlineStr">
        <is>
          <t>Mercuriusplein 11, Amsterdam</t>
        </is>
      </c>
      <c r="W47" s="2" t="inlineStr">
        <is>
          <t>Asfalt Schouw NOORD — 26 augustus 2026</t>
        </is>
      </c>
      <c r="X47" s="2" t="inlineStr">
        <is>
          <t>16/49</t>
        </is>
      </c>
      <c r="Y47" s="2" t="inlineStr">
        <is>
          <t>046-mercuriusstraat.jpg</t>
        </is>
      </c>
      <c r="Z47" s="9" t="inlineStr">
        <is>
          <t>handgeschreven code "HB" in de kantlijn</t>
        </is>
      </c>
      <c r="AA47" s="9" t="inlineStr"/>
      <c r="AB47" s="2" t="inlineStr">
        <is>
          <t>SOK-AMS-MERCURIUSSTRAAT</t>
        </is>
      </c>
      <c r="AC47" s="2" t="inlineStr"/>
      <c r="AD47" s="2" t="n">
        <v>2</v>
      </c>
    </row>
    <row r="48">
      <c r="A48" s="2" t="inlineStr">
        <is>
          <t>SOK-AMS-2026-047</t>
        </is>
      </c>
      <c r="B48" s="2" t="inlineStr">
        <is>
          <t>Asfalt – nog in te delen</t>
        </is>
      </c>
      <c r="C48" s="2" t="inlineStr">
        <is>
          <t>Mercuriusstraat</t>
        </is>
      </c>
      <c r="D48" s="2" t="inlineStr">
        <is>
          <t>Tuindorp Oostzaan</t>
        </is>
      </c>
      <c r="E48" s="2" t="inlineStr">
        <is>
          <t>Mercuriusstr nr. 23 foto 1 8.30 x 0.40 foto 2 nr.25 t/m nr. 31 19.45 x 1.00</t>
        </is>
      </c>
      <c r="F48" s="2" t="inlineStr">
        <is>
          <t>8,30 × 0,40 m + 19,45 × 1,00 m  (samen 22,8 m²)</t>
        </is>
      </c>
      <c r="G48" s="2" t="n">
        <v>2</v>
      </c>
      <c r="H48" s="7" t="n">
        <v>27.75</v>
      </c>
      <c r="I48" s="7" t="n">
        <v>0.4</v>
      </c>
      <c r="J48" s="7" t="n">
        <v>22.77</v>
      </c>
      <c r="K48" s="2">
        <f>INDEX(Tarieven!$A$4:$E$7,MATCH($B48,Tarieven!$A$4:$A$7,0),2)</f>
        <v/>
      </c>
      <c r="L48" s="7">
        <f>IF($K48="plek",$G48,IF($K48="m1",$H48,$J48))</f>
        <v/>
      </c>
      <c r="M48" s="8">
        <f>INDEX(Tarieven!$A$4:$E$7,MATCH($B48,Tarieven!$A$4:$A$7,0),3)</f>
        <v/>
      </c>
      <c r="N48" s="8">
        <f>INDEX(Tarieven!$A$4:$E$7,MATCH($B48,Tarieven!$A$4:$A$7,0),4)</f>
        <v/>
      </c>
      <c r="O48" s="8">
        <f>IFERROR($L48*$M48,0)</f>
        <v/>
      </c>
      <c r="P48" s="8">
        <f>IFERROR($L48*$N48,0)</f>
        <v/>
      </c>
      <c r="Q48" s="2" t="inlineStr">
        <is>
          <t>normaal</t>
        </is>
      </c>
      <c r="R48" s="2" t="inlineStr">
        <is>
          <t>2026-07-20</t>
        </is>
      </c>
      <c r="S48" s="2" t="n">
        <v>30</v>
      </c>
      <c r="T48" s="2" t="n">
        <v>52.41467</v>
      </c>
      <c r="U48" s="2" t="n">
        <v>4.88377</v>
      </c>
      <c r="V48" s="2" t="inlineStr">
        <is>
          <t>Mercuriusplein 12. Amsterdam</t>
        </is>
      </c>
      <c r="W48" s="2" t="inlineStr">
        <is>
          <t>Asfalt Schouw NOORD — 26 augustus 2026</t>
        </is>
      </c>
      <c r="X48" s="2" t="inlineStr">
        <is>
          <t>16/49</t>
        </is>
      </c>
      <c r="Y48" s="2" t="inlineStr">
        <is>
          <t>047-mercuriusstraat.jpg</t>
        </is>
      </c>
      <c r="Z48" s="9" t="inlineStr">
        <is>
          <t>geen code in de kantlijn en geen asfaltsoort in de tekst</t>
        </is>
      </c>
      <c r="AA48" s="9" t="inlineStr"/>
      <c r="AB48" s="2" t="inlineStr">
        <is>
          <t>SOK-AMS-MERCURIUSSTRAAT</t>
        </is>
      </c>
      <c r="AC48" s="2" t="inlineStr"/>
      <c r="AD48" s="2" t="n">
        <v>3</v>
      </c>
    </row>
    <row r="49">
      <c r="A49" s="2" t="inlineStr">
        <is>
          <t>SOK-AMS-2026-048</t>
        </is>
      </c>
      <c r="B49" s="2" t="inlineStr">
        <is>
          <t>Hotbox werkzaamheden</t>
        </is>
      </c>
      <c r="C49" s="2" t="inlineStr">
        <is>
          <t>Kometensingel</t>
        </is>
      </c>
      <c r="D49" s="2" t="inlineStr">
        <is>
          <t>Tuindorp Oostzaan</t>
        </is>
      </c>
      <c r="E49" s="2" t="inlineStr">
        <is>
          <t>Kometensingel nr. 29. 8.60 x 1.60</t>
        </is>
      </c>
      <c r="F49" s="2" t="inlineStr">
        <is>
          <t>8,60 × 1,60 m  (samen 13,8 m²)</t>
        </is>
      </c>
      <c r="G49" s="2" t="n">
        <v>1</v>
      </c>
      <c r="H49" s="7" t="n">
        <v>8.6</v>
      </c>
      <c r="I49" s="7" t="n">
        <v>1.6</v>
      </c>
      <c r="J49" s="7" t="n">
        <v>13.76</v>
      </c>
      <c r="K49" s="2">
        <f>INDEX(Tarieven!$A$4:$E$7,MATCH($B49,Tarieven!$A$4:$A$7,0),2)</f>
        <v/>
      </c>
      <c r="L49" s="7">
        <f>IF($K49="plek",$G49,IF($K49="m1",$H49,$J49))</f>
        <v/>
      </c>
      <c r="M49" s="8">
        <f>INDEX(Tarieven!$A$4:$E$7,MATCH($B49,Tarieven!$A$4:$A$7,0),3)</f>
        <v/>
      </c>
      <c r="N49" s="8">
        <f>INDEX(Tarieven!$A$4:$E$7,MATCH($B49,Tarieven!$A$4:$A$7,0),4)</f>
        <v/>
      </c>
      <c r="O49" s="8">
        <f>IFERROR($L49*$M49,0)</f>
        <v/>
      </c>
      <c r="P49" s="8">
        <f>IFERROR($L49*$N49,0)</f>
        <v/>
      </c>
      <c r="Q49" s="2" t="inlineStr">
        <is>
          <t>normaal</t>
        </is>
      </c>
      <c r="R49" s="2" t="inlineStr">
        <is>
          <t>2026-07-20</t>
        </is>
      </c>
      <c r="S49" s="2" t="n">
        <v>30</v>
      </c>
      <c r="T49" s="2" t="n">
        <v>52.41611</v>
      </c>
      <c r="U49" s="2" t="n">
        <v>4.88365</v>
      </c>
      <c r="V49" s="2" t="inlineStr">
        <is>
          <t>Kometensingel 249, Amsterdam</t>
        </is>
      </c>
      <c r="W49" s="2" t="inlineStr">
        <is>
          <t>Asfalt Schouw NOORD — 26 augustus 2026</t>
        </is>
      </c>
      <c r="X49" s="2" t="inlineStr">
        <is>
          <t>17/49</t>
        </is>
      </c>
      <c r="Y49" s="2" t="inlineStr">
        <is>
          <t>048-kometensingel.jpg</t>
        </is>
      </c>
      <c r="Z49" s="9" t="inlineStr">
        <is>
          <t>handgeschreven code "HB" in de kantlijn</t>
        </is>
      </c>
      <c r="AA49" s="9" t="inlineStr"/>
      <c r="AB49" s="2" t="inlineStr">
        <is>
          <t>SOK-AMS-KOMETENSINGEL</t>
        </is>
      </c>
      <c r="AC49" s="2" t="inlineStr"/>
      <c r="AD49" s="2" t="n">
        <v>2</v>
      </c>
    </row>
    <row r="50">
      <c r="A50" s="2" t="inlineStr">
        <is>
          <t>SOK-AMS-2026-049</t>
        </is>
      </c>
      <c r="B50" s="2" t="inlineStr">
        <is>
          <t>Hotbox werkzaamheden</t>
        </is>
      </c>
      <c r="C50" s="2" t="inlineStr">
        <is>
          <t>Kometensingel</t>
        </is>
      </c>
      <c r="D50" s="2" t="inlineStr">
        <is>
          <t>Tuindorp Oostzaan</t>
        </is>
      </c>
      <c r="E50" s="2" t="inlineStr">
        <is>
          <t>Kometensingel nr. 15 1.80 x 2.30</t>
        </is>
      </c>
      <c r="F50" s="2" t="inlineStr">
        <is>
          <t>2,30 × 1,80 m  (samen 4,1 m²)</t>
        </is>
      </c>
      <c r="G50" s="2" t="n">
        <v>1</v>
      </c>
      <c r="H50" s="7" t="n">
        <v>2.3</v>
      </c>
      <c r="I50" s="7" t="n">
        <v>1.8</v>
      </c>
      <c r="J50" s="7" t="n">
        <v>4.14</v>
      </c>
      <c r="K50" s="2">
        <f>INDEX(Tarieven!$A$4:$E$7,MATCH($B50,Tarieven!$A$4:$A$7,0),2)</f>
        <v/>
      </c>
      <c r="L50" s="7">
        <f>IF($K50="plek",$G50,IF($K50="m1",$H50,$J50))</f>
        <v/>
      </c>
      <c r="M50" s="8">
        <f>INDEX(Tarieven!$A$4:$E$7,MATCH($B50,Tarieven!$A$4:$A$7,0),3)</f>
        <v/>
      </c>
      <c r="N50" s="8">
        <f>INDEX(Tarieven!$A$4:$E$7,MATCH($B50,Tarieven!$A$4:$A$7,0),4)</f>
        <v/>
      </c>
      <c r="O50" s="8">
        <f>IFERROR($L50*$M50,0)</f>
        <v/>
      </c>
      <c r="P50" s="8">
        <f>IFERROR($L50*$N50,0)</f>
        <v/>
      </c>
      <c r="Q50" s="2" t="inlineStr">
        <is>
          <t>normaal</t>
        </is>
      </c>
      <c r="R50" s="2" t="inlineStr">
        <is>
          <t>2026-07-20</t>
        </is>
      </c>
      <c r="S50" s="2" t="n">
        <v>30</v>
      </c>
      <c r="T50" s="2" t="n">
        <v>52.41314</v>
      </c>
      <c r="U50" s="2" t="n">
        <v>4.89352</v>
      </c>
      <c r="V50" s="2" t="inlineStr">
        <is>
          <t>Kometensingel 15, Amsterdam</t>
        </is>
      </c>
      <c r="W50" s="2" t="inlineStr">
        <is>
          <t>Asfalt Schouw NOORD — 26 augustus 2026</t>
        </is>
      </c>
      <c r="X50" s="2" t="inlineStr">
        <is>
          <t>17/49</t>
        </is>
      </c>
      <c r="Y50" s="2" t="inlineStr">
        <is>
          <t>049-kometensingel.jpg</t>
        </is>
      </c>
      <c r="Z50" s="9" t="inlineStr">
        <is>
          <t>handgeschreven code "HB" in de kantlijn</t>
        </is>
      </c>
      <c r="AA50" s="9" t="inlineStr"/>
      <c r="AB50" s="2" t="inlineStr">
        <is>
          <t>SOK-AMS-KOMETENSINGEL</t>
        </is>
      </c>
      <c r="AC50" s="2" t="inlineStr"/>
      <c r="AD50" s="2" t="n">
        <v>2</v>
      </c>
    </row>
    <row r="51">
      <c r="A51" s="2" t="inlineStr">
        <is>
          <t>SOK-AMS-2026-050</t>
        </is>
      </c>
      <c r="B51" s="2" t="inlineStr">
        <is>
          <t>Hotbox werkzaamheden</t>
        </is>
      </c>
      <c r="C51" s="2" t="inlineStr">
        <is>
          <t>Grote Beerstraat</t>
        </is>
      </c>
      <c r="D51" s="2" t="inlineStr">
        <is>
          <t>Tuindorp Oostzaan</t>
        </is>
      </c>
      <c r="E51" s="2" t="inlineStr">
        <is>
          <t>Grotebeerstr. Nr. 6 2.70 x 1.60</t>
        </is>
      </c>
      <c r="F51" s="2" t="inlineStr">
        <is>
          <t>2,70 × 1,60 m  (samen 4,3 m²)</t>
        </is>
      </c>
      <c r="G51" s="2" t="n">
        <v>1</v>
      </c>
      <c r="H51" s="7" t="n">
        <v>2.7</v>
      </c>
      <c r="I51" s="7" t="n">
        <v>1.6</v>
      </c>
      <c r="J51" s="7" t="n">
        <v>4.32</v>
      </c>
      <c r="K51" s="2">
        <f>INDEX(Tarieven!$A$4:$E$7,MATCH($B51,Tarieven!$A$4:$A$7,0),2)</f>
        <v/>
      </c>
      <c r="L51" s="7">
        <f>IF($K51="plek",$G51,IF($K51="m1",$H51,$J51))</f>
        <v/>
      </c>
      <c r="M51" s="8">
        <f>INDEX(Tarieven!$A$4:$E$7,MATCH($B51,Tarieven!$A$4:$A$7,0),3)</f>
        <v/>
      </c>
      <c r="N51" s="8">
        <f>INDEX(Tarieven!$A$4:$E$7,MATCH($B51,Tarieven!$A$4:$A$7,0),4)</f>
        <v/>
      </c>
      <c r="O51" s="8">
        <f>IFERROR($L51*$M51,0)</f>
        <v/>
      </c>
      <c r="P51" s="8">
        <f>IFERROR($L51*$N51,0)</f>
        <v/>
      </c>
      <c r="Q51" s="2" t="inlineStr">
        <is>
          <t>normaal</t>
        </is>
      </c>
      <c r="R51" s="2" t="inlineStr">
        <is>
          <t>2026-07-20</t>
        </is>
      </c>
      <c r="S51" s="2" t="n">
        <v>30</v>
      </c>
      <c r="T51" s="2" t="n">
        <v>52.41307</v>
      </c>
      <c r="U51" s="2" t="n">
        <v>4.8931</v>
      </c>
      <c r="V51" s="2" t="inlineStr">
        <is>
          <t>Grote Beerstraat 6, Amsterdam</t>
        </is>
      </c>
      <c r="W51" s="2" t="inlineStr">
        <is>
          <t>Asfalt Schouw NOORD — 26 augustus 2026</t>
        </is>
      </c>
      <c r="X51" s="2" t="inlineStr">
        <is>
          <t>17/49</t>
        </is>
      </c>
      <c r="Y51" s="2" t="inlineStr">
        <is>
          <t>050-grotebeerstraat.jpg</t>
        </is>
      </c>
      <c r="Z51" s="9" t="inlineStr">
        <is>
          <t>handgeschreven code "HB" in de kantlijn</t>
        </is>
      </c>
      <c r="AA51" s="9" t="inlineStr"/>
      <c r="AB51" s="2" t="inlineStr">
        <is>
          <t>SOK-AMS-GROTE-BEERSTRAAT</t>
        </is>
      </c>
      <c r="AC51" s="2" t="inlineStr"/>
      <c r="AD51" s="2" t="n">
        <v>2</v>
      </c>
    </row>
    <row r="52">
      <c r="A52" s="2" t="inlineStr">
        <is>
          <t>SOK-AMS-2026-051</t>
        </is>
      </c>
      <c r="B52" s="2" t="inlineStr">
        <is>
          <t>Hotbox werkzaamheden</t>
        </is>
      </c>
      <c r="C52" s="2" t="inlineStr">
        <is>
          <t>Aldebaranplein</t>
        </is>
      </c>
      <c r="D52" s="2" t="inlineStr">
        <is>
          <t>Tuindorp Oostzaan</t>
        </is>
      </c>
      <c r="E52" s="2" t="inlineStr">
        <is>
          <t>Alderbarpin nr. 1. 4.20 x 1.80</t>
        </is>
      </c>
      <c r="F52" s="2" t="inlineStr">
        <is>
          <t>4,20 × 1,80 m  (samen 7,6 m²)</t>
        </is>
      </c>
      <c r="G52" s="2" t="n">
        <v>1</v>
      </c>
      <c r="H52" s="7" t="n">
        <v>4.2</v>
      </c>
      <c r="I52" s="7" t="n">
        <v>1.8</v>
      </c>
      <c r="J52" s="7" t="n">
        <v>7.56</v>
      </c>
      <c r="K52" s="2">
        <f>INDEX(Tarieven!$A$4:$E$7,MATCH($B52,Tarieven!$A$4:$A$7,0),2)</f>
        <v/>
      </c>
      <c r="L52" s="7">
        <f>IF($K52="plek",$G52,IF($K52="m1",$H52,$J52))</f>
        <v/>
      </c>
      <c r="M52" s="8">
        <f>INDEX(Tarieven!$A$4:$E$7,MATCH($B52,Tarieven!$A$4:$A$7,0),3)</f>
        <v/>
      </c>
      <c r="N52" s="8">
        <f>INDEX(Tarieven!$A$4:$E$7,MATCH($B52,Tarieven!$A$4:$A$7,0),4)</f>
        <v/>
      </c>
      <c r="O52" s="8">
        <f>IFERROR($L52*$M52,0)</f>
        <v/>
      </c>
      <c r="P52" s="8">
        <f>IFERROR($L52*$N52,0)</f>
        <v/>
      </c>
      <c r="Q52" s="2" t="inlineStr">
        <is>
          <t>normaal</t>
        </is>
      </c>
      <c r="R52" s="2" t="inlineStr">
        <is>
          <t>2026-07-20</t>
        </is>
      </c>
      <c r="S52" s="2" t="n">
        <v>30</v>
      </c>
      <c r="T52" s="2" t="n">
        <v>52.41116</v>
      </c>
      <c r="U52" s="2" t="n">
        <v>4.89181</v>
      </c>
      <c r="V52" s="2" t="inlineStr">
        <is>
          <t>Aldebaranplein 5, Amsterdam</t>
        </is>
      </c>
      <c r="W52" s="2" t="inlineStr">
        <is>
          <t>Asfalt Schouw NOORD — 26 augustus 2026</t>
        </is>
      </c>
      <c r="X52" s="2" t="inlineStr">
        <is>
          <t>18/49</t>
        </is>
      </c>
      <c r="Y52" s="2" t="inlineStr">
        <is>
          <t>051-aldebaranplein.jpg</t>
        </is>
      </c>
      <c r="Z52" s="9" t="inlineStr">
        <is>
          <t>handgeschreven code "HB" in de kantlijn</t>
        </is>
      </c>
      <c r="AA52" s="9" t="inlineStr"/>
      <c r="AB52" s="2" t="inlineStr">
        <is>
          <t>SOK-AMS-ALDEBARANPLEIN</t>
        </is>
      </c>
      <c r="AC52" s="2" t="inlineStr"/>
      <c r="AD52" s="2" t="n">
        <v>2</v>
      </c>
    </row>
    <row r="53">
      <c r="A53" s="2" t="inlineStr">
        <is>
          <t>SOK-AMS-2026-052</t>
        </is>
      </c>
      <c r="B53" s="2" t="inlineStr">
        <is>
          <t>Hotbox werkzaamheden</t>
        </is>
      </c>
      <c r="C53" s="2" t="inlineStr">
        <is>
          <t>Castorplein</t>
        </is>
      </c>
      <c r="D53" s="2" t="inlineStr">
        <is>
          <t>Tuindorp Oostzaan</t>
        </is>
      </c>
      <c r="E53" s="2" t="inlineStr">
        <is>
          <t>Castorpin. Nr. 26 2.70 x 0. 80 + 2.10 x 0.70</t>
        </is>
      </c>
      <c r="F53" s="2" t="inlineStr">
        <is>
          <t>2,10 × 0,70 m  (samen 1,5 m²)</t>
        </is>
      </c>
      <c r="G53" s="2" t="n">
        <v>1</v>
      </c>
      <c r="H53" s="7" t="n">
        <v>2.1</v>
      </c>
      <c r="I53" s="7" t="n">
        <v>0.7</v>
      </c>
      <c r="J53" s="7" t="n">
        <v>1.47</v>
      </c>
      <c r="K53" s="2">
        <f>INDEX(Tarieven!$A$4:$E$7,MATCH($B53,Tarieven!$A$4:$A$7,0),2)</f>
        <v/>
      </c>
      <c r="L53" s="7">
        <f>IF($K53="plek",$G53,IF($K53="m1",$H53,$J53))</f>
        <v/>
      </c>
      <c r="M53" s="8">
        <f>INDEX(Tarieven!$A$4:$E$7,MATCH($B53,Tarieven!$A$4:$A$7,0),3)</f>
        <v/>
      </c>
      <c r="N53" s="8">
        <f>INDEX(Tarieven!$A$4:$E$7,MATCH($B53,Tarieven!$A$4:$A$7,0),4)</f>
        <v/>
      </c>
      <c r="O53" s="8">
        <f>IFERROR($L53*$M53,0)</f>
        <v/>
      </c>
      <c r="P53" s="8">
        <f>IFERROR($L53*$N53,0)</f>
        <v/>
      </c>
      <c r="Q53" s="2" t="inlineStr">
        <is>
          <t>normaal</t>
        </is>
      </c>
      <c r="R53" s="2" t="inlineStr">
        <is>
          <t>2026-07-20</t>
        </is>
      </c>
      <c r="S53" s="2" t="n">
        <v>30</v>
      </c>
      <c r="T53" s="2" t="n">
        <v>52.4118</v>
      </c>
      <c r="U53" s="2" t="n">
        <v>4.89089</v>
      </c>
      <c r="V53" s="2" t="inlineStr">
        <is>
          <t>Castorplein 28, Amsterdam</t>
        </is>
      </c>
      <c r="W53" s="2" t="inlineStr">
        <is>
          <t>Asfalt Schouw NOORD — 26 augustus 2026</t>
        </is>
      </c>
      <c r="X53" s="2" t="inlineStr">
        <is>
          <t>18/49</t>
        </is>
      </c>
      <c r="Y53" s="2" t="inlineStr">
        <is>
          <t>052-castorplein.jpg</t>
        </is>
      </c>
      <c r="Z53" s="9" t="inlineStr">
        <is>
          <t>handgeschreven code "HB" in de kantlijn</t>
        </is>
      </c>
      <c r="AA53" s="9" t="inlineStr"/>
      <c r="AB53" s="2" t="inlineStr">
        <is>
          <t>SOK-AMS-CASTORPLEIN</t>
        </is>
      </c>
      <c r="AC53" s="2" t="inlineStr"/>
      <c r="AD53" s="2" t="n">
        <v>3</v>
      </c>
    </row>
    <row r="54">
      <c r="A54" s="2" t="inlineStr">
        <is>
          <t>SOK-AMS-2026-053</t>
        </is>
      </c>
      <c r="B54" s="2" t="inlineStr">
        <is>
          <t>Hotbox werkzaamheden</t>
        </is>
      </c>
      <c r="C54" s="2" t="inlineStr">
        <is>
          <t>Meteorensingel</t>
        </is>
      </c>
      <c r="D54" s="2" t="inlineStr">
        <is>
          <t>Tuindorp Oostzaan</t>
        </is>
      </c>
      <c r="E54" s="2" t="inlineStr">
        <is>
          <t>Meteorensingel nr.32 Fp 2.30 x 1.60</t>
        </is>
      </c>
      <c r="F54" s="2" t="inlineStr">
        <is>
          <t>2,30 × 1,60 m  (samen 3,7 m²)</t>
        </is>
      </c>
      <c r="G54" s="2" t="n">
        <v>1</v>
      </c>
      <c r="H54" s="7" t="n">
        <v>2.3</v>
      </c>
      <c r="I54" s="7" t="n">
        <v>1.6</v>
      </c>
      <c r="J54" s="7" t="n">
        <v>3.68</v>
      </c>
      <c r="K54" s="2">
        <f>INDEX(Tarieven!$A$4:$E$7,MATCH($B54,Tarieven!$A$4:$A$7,0),2)</f>
        <v/>
      </c>
      <c r="L54" s="7">
        <f>IF($K54="plek",$G54,IF($K54="m1",$H54,$J54))</f>
        <v/>
      </c>
      <c r="M54" s="8">
        <f>INDEX(Tarieven!$A$4:$E$7,MATCH($B54,Tarieven!$A$4:$A$7,0),3)</f>
        <v/>
      </c>
      <c r="N54" s="8">
        <f>INDEX(Tarieven!$A$4:$E$7,MATCH($B54,Tarieven!$A$4:$A$7,0),4)</f>
        <v/>
      </c>
      <c r="O54" s="8">
        <f>IFERROR($L54*$M54,0)</f>
        <v/>
      </c>
      <c r="P54" s="8">
        <f>IFERROR($L54*$N54,0)</f>
        <v/>
      </c>
      <c r="Q54" s="2" t="inlineStr">
        <is>
          <t>normaal</t>
        </is>
      </c>
      <c r="R54" s="2" t="inlineStr">
        <is>
          <t>2026-07-21</t>
        </is>
      </c>
      <c r="S54" s="2" t="n">
        <v>30</v>
      </c>
      <c r="T54" s="2" t="n">
        <v>52.41213</v>
      </c>
      <c r="U54" s="2" t="n">
        <v>4.89331</v>
      </c>
      <c r="V54" s="2" t="inlineStr">
        <is>
          <t>Meteorensingel 24, Amsterdam</t>
        </is>
      </c>
      <c r="W54" s="2" t="inlineStr">
        <is>
          <t>Asfalt Schouw NOORD — 26 augustus 2026</t>
        </is>
      </c>
      <c r="X54" s="2" t="inlineStr">
        <is>
          <t>18/49</t>
        </is>
      </c>
      <c r="Y54" s="2" t="inlineStr">
        <is>
          <t>053-meteorensingel.jpg</t>
        </is>
      </c>
      <c r="Z54" s="9" t="inlineStr">
        <is>
          <t>handgeschreven code "HB" in de kantlijn</t>
        </is>
      </c>
      <c r="AA54" s="9" t="inlineStr"/>
      <c r="AB54" s="2" t="inlineStr">
        <is>
          <t>SOK-AMS-METEORENSINGEL</t>
        </is>
      </c>
      <c r="AC54" s="2" t="inlineStr"/>
      <c r="AD54" s="2" t="n">
        <v>2</v>
      </c>
    </row>
    <row r="55">
      <c r="A55" s="2" t="inlineStr">
        <is>
          <t>SOK-AMS-2026-054</t>
        </is>
      </c>
      <c r="B55" s="2" t="inlineStr">
        <is>
          <t>Hotbox werkzaamheden</t>
        </is>
      </c>
      <c r="C55" s="2" t="inlineStr">
        <is>
          <t>Kometensingel</t>
        </is>
      </c>
      <c r="D55" s="2" t="inlineStr">
        <is>
          <t>Tuindorp Oostzaan</t>
        </is>
      </c>
      <c r="E55" s="2" t="inlineStr">
        <is>
          <t>Kometensingel foto 1 nr. 31 2.60 x 0.30 foto 2 t/o nr. 51 8.00 x 3.00</t>
        </is>
      </c>
      <c r="F55" s="2" t="inlineStr">
        <is>
          <t>2,60 × 0,30 m + 8,00 × 3,00 m  (samen 24,8 m²)</t>
        </is>
      </c>
      <c r="G55" s="2" t="n">
        <v>2</v>
      </c>
      <c r="H55" s="7" t="n">
        <v>10.6</v>
      </c>
      <c r="I55" s="7" t="n">
        <v>0.3</v>
      </c>
      <c r="J55" s="7" t="n">
        <v>24.78</v>
      </c>
      <c r="K55" s="2">
        <f>INDEX(Tarieven!$A$4:$E$7,MATCH($B55,Tarieven!$A$4:$A$7,0),2)</f>
        <v/>
      </c>
      <c r="L55" s="7">
        <f>IF($K55="plek",$G55,IF($K55="m1",$H55,$J55))</f>
        <v/>
      </c>
      <c r="M55" s="8">
        <f>INDEX(Tarieven!$A$4:$E$7,MATCH($B55,Tarieven!$A$4:$A$7,0),3)</f>
        <v/>
      </c>
      <c r="N55" s="8">
        <f>INDEX(Tarieven!$A$4:$E$7,MATCH($B55,Tarieven!$A$4:$A$7,0),4)</f>
        <v/>
      </c>
      <c r="O55" s="8">
        <f>IFERROR($L55*$M55,0)</f>
        <v/>
      </c>
      <c r="P55" s="8">
        <f>IFERROR($L55*$N55,0)</f>
        <v/>
      </c>
      <c r="Q55" s="2" t="inlineStr">
        <is>
          <t>normaal</t>
        </is>
      </c>
      <c r="R55" s="2" t="inlineStr">
        <is>
          <t>2026-07-21</t>
        </is>
      </c>
      <c r="S55" s="2" t="n">
        <v>30</v>
      </c>
      <c r="T55" s="2" t="n">
        <v>52.41376</v>
      </c>
      <c r="U55" s="2" t="n">
        <v>4.89367</v>
      </c>
      <c r="V55" s="2" t="inlineStr">
        <is>
          <t>Kometensingel 31, Amsterdam</t>
        </is>
      </c>
      <c r="W55" s="2" t="inlineStr">
        <is>
          <t>Asfalt Schouw NOORD — 26 augustus 2026</t>
        </is>
      </c>
      <c r="X55" s="2" t="inlineStr">
        <is>
          <t>19/49</t>
        </is>
      </c>
      <c r="Y55" s="2" t="inlineStr">
        <is>
          <t>054-kometensingel.jpg</t>
        </is>
      </c>
      <c r="Z55" s="9" t="inlineStr">
        <is>
          <t>handgeschreven code "HB" in de kantlijn</t>
        </is>
      </c>
      <c r="AA55" s="9" t="inlineStr"/>
      <c r="AB55" s="2" t="inlineStr">
        <is>
          <t>SOK-AMS-KOMETENSINGEL</t>
        </is>
      </c>
      <c r="AC55" s="2" t="inlineStr"/>
      <c r="AD55" s="2" t="n">
        <v>2</v>
      </c>
    </row>
    <row r="56">
      <c r="A56" s="2" t="inlineStr">
        <is>
          <t>SOK-AMS-2026-055</t>
        </is>
      </c>
      <c r="B56" s="2" t="inlineStr">
        <is>
          <t>Asfalt machinaal</t>
        </is>
      </c>
      <c r="C56" s="2" t="inlineStr">
        <is>
          <t>Kometensingel</t>
        </is>
      </c>
      <c r="D56" s="2" t="inlineStr">
        <is>
          <t>Asfalt Schades Heel Noord</t>
        </is>
      </c>
      <c r="E56" s="2" t="inlineStr">
        <is>
          <t>Kometensingel t/o nr.51 5.00 x 2.00</t>
        </is>
      </c>
      <c r="F56" s="2" t="inlineStr">
        <is>
          <t>5,00 × 2,00 m  (samen 10,0 m²)</t>
        </is>
      </c>
      <c r="G56" s="2" t="n">
        <v>1</v>
      </c>
      <c r="H56" s="7" t="n">
        <v>5</v>
      </c>
      <c r="I56" s="7" t="n">
        <v>2</v>
      </c>
      <c r="J56" s="7" t="n">
        <v>10</v>
      </c>
      <c r="K56" s="2">
        <f>INDEX(Tarieven!$A$4:$E$7,MATCH($B56,Tarieven!$A$4:$A$7,0),2)</f>
        <v/>
      </c>
      <c r="L56" s="7">
        <f>IF($K56="plek",$G56,IF($K56="m1",$H56,$J56))</f>
        <v/>
      </c>
      <c r="M56" s="8">
        <f>INDEX(Tarieven!$A$4:$E$7,MATCH($B56,Tarieven!$A$4:$A$7,0),3)</f>
        <v/>
      </c>
      <c r="N56" s="8">
        <f>INDEX(Tarieven!$A$4:$E$7,MATCH($B56,Tarieven!$A$4:$A$7,0),4)</f>
        <v/>
      </c>
      <c r="O56" s="8">
        <f>IFERROR($L56*$M56,0)</f>
        <v/>
      </c>
      <c r="P56" s="8">
        <f>IFERROR($L56*$N56,0)</f>
        <v/>
      </c>
      <c r="Q56" s="2" t="inlineStr">
        <is>
          <t>normaal</t>
        </is>
      </c>
      <c r="R56" s="2" t="inlineStr">
        <is>
          <t>2026-07-21</t>
        </is>
      </c>
      <c r="S56" s="2" t="n">
        <v>30</v>
      </c>
      <c r="T56" s="2" t="n">
        <v>52.41376</v>
      </c>
      <c r="U56" s="2" t="n">
        <v>4.89367</v>
      </c>
      <c r="V56" s="2" t="inlineStr">
        <is>
          <t>Kometensingel 31, Amsterdam</t>
        </is>
      </c>
      <c r="W56" s="2" t="inlineStr">
        <is>
          <t>Asfalt Schouw NOORD — 26 augustus 2026</t>
        </is>
      </c>
      <c r="X56" s="2" t="inlineStr">
        <is>
          <t>19/49</t>
        </is>
      </c>
      <c r="Y56" s="2" t="inlineStr">
        <is>
          <t>055-kometensingel.jpg</t>
        </is>
      </c>
      <c r="Z56" s="9" t="inlineStr">
        <is>
          <t>handgeschreven code "AS" in de kantlijn</t>
        </is>
      </c>
      <c r="AA56" s="9" t="inlineStr"/>
      <c r="AB56" s="2" t="inlineStr">
        <is>
          <t>SOK-AMS-KOMETENSINGEL</t>
        </is>
      </c>
      <c r="AC56" s="2" t="inlineStr"/>
      <c r="AD56" s="2" t="n">
        <v>1</v>
      </c>
    </row>
    <row r="57">
      <c r="A57" s="2" t="inlineStr">
        <is>
          <t>SOK-AMS-2026-056</t>
        </is>
      </c>
      <c r="B57" s="2" t="inlineStr">
        <is>
          <t>Asfalt – nog in te delen</t>
        </is>
      </c>
      <c r="C57" s="2" t="inlineStr">
        <is>
          <t>Kometensingel</t>
        </is>
      </c>
      <c r="D57" s="2" t="inlineStr">
        <is>
          <t>Tuindorp Oostzaan</t>
        </is>
      </c>
      <c r="E57" s="2" t="inlineStr">
        <is>
          <t>Kometensingel t/o nr. 57 Fp. 3.50 x 0.30</t>
        </is>
      </c>
      <c r="F57" s="2" t="inlineStr">
        <is>
          <t>3,50 × 0,30 m  (samen 1,1 m²)</t>
        </is>
      </c>
      <c r="G57" s="2" t="n">
        <v>1</v>
      </c>
      <c r="H57" s="7" t="n">
        <v>3.5</v>
      </c>
      <c r="I57" s="7" t="n">
        <v>0.3</v>
      </c>
      <c r="J57" s="7" t="n">
        <v>1.05</v>
      </c>
      <c r="K57" s="2">
        <f>INDEX(Tarieven!$A$4:$E$7,MATCH($B57,Tarieven!$A$4:$A$7,0),2)</f>
        <v/>
      </c>
      <c r="L57" s="7">
        <f>IF($K57="plek",$G57,IF($K57="m1",$H57,$J57))</f>
        <v/>
      </c>
      <c r="M57" s="8">
        <f>INDEX(Tarieven!$A$4:$E$7,MATCH($B57,Tarieven!$A$4:$A$7,0),3)</f>
        <v/>
      </c>
      <c r="N57" s="8">
        <f>INDEX(Tarieven!$A$4:$E$7,MATCH($B57,Tarieven!$A$4:$A$7,0),4)</f>
        <v/>
      </c>
      <c r="O57" s="8">
        <f>IFERROR($L57*$M57,0)</f>
        <v/>
      </c>
      <c r="P57" s="8">
        <f>IFERROR($L57*$N57,0)</f>
        <v/>
      </c>
      <c r="Q57" s="2" t="inlineStr">
        <is>
          <t>normaal</t>
        </is>
      </c>
      <c r="R57" s="2" t="inlineStr">
        <is>
          <t>2026-07-21</t>
        </is>
      </c>
      <c r="S57" s="2" t="n">
        <v>30</v>
      </c>
      <c r="T57" s="2" t="n">
        <v>52.41428</v>
      </c>
      <c r="U57" s="2" t="n">
        <v>4.89351</v>
      </c>
      <c r="V57" s="2" t="inlineStr">
        <is>
          <t>Kometensingel 53, Amsterdam</t>
        </is>
      </c>
      <c r="W57" s="2" t="inlineStr">
        <is>
          <t>Asfalt Schouw NOORD — 26 augustus 2026</t>
        </is>
      </c>
      <c r="X57" s="2" t="inlineStr">
        <is>
          <t>19/49</t>
        </is>
      </c>
      <c r="Y57" s="2" t="inlineStr">
        <is>
          <t>056-kometensingel.jpg</t>
        </is>
      </c>
      <c r="Z57" s="9" t="inlineStr">
        <is>
          <t>geen code in de kantlijn en geen asfaltsoort in de tekst</t>
        </is>
      </c>
      <c r="AA57" s="9" t="inlineStr"/>
      <c r="AB57" s="2" t="inlineStr">
        <is>
          <t>SOK-AMS-KOMETENSINGEL</t>
        </is>
      </c>
      <c r="AC57" s="2" t="inlineStr"/>
      <c r="AD57" s="2" t="n">
        <v>1</v>
      </c>
    </row>
    <row r="58">
      <c r="A58" s="2" t="inlineStr">
        <is>
          <t>SOK-AMS-2026-057</t>
        </is>
      </c>
      <c r="B58" s="2" t="inlineStr">
        <is>
          <t>Hotbox werkzaamheden</t>
        </is>
      </c>
      <c r="C58" s="2" t="inlineStr">
        <is>
          <t>Kleine Zonneplein</t>
        </is>
      </c>
      <c r="D58" s="2" t="inlineStr">
        <is>
          <t>Tuindorp Oostzaan</t>
        </is>
      </c>
      <c r="E58" s="2" t="inlineStr">
        <is>
          <t>Kleine Zonnepin. Bij elektra huisje. 8.70 x 1.70 + 2.15 x 1.10</t>
        </is>
      </c>
      <c r="F58" s="2" t="inlineStr">
        <is>
          <t>8,70 × 1,70 m + 2,15 × 1,10 m  (samen 17,2 m²)</t>
        </is>
      </c>
      <c r="G58" s="2" t="n">
        <v>2</v>
      </c>
      <c r="H58" s="7" t="n">
        <v>10.85</v>
      </c>
      <c r="I58" s="7" t="n">
        <v>1.1</v>
      </c>
      <c r="J58" s="7" t="n">
        <v>17.16</v>
      </c>
      <c r="K58" s="2">
        <f>INDEX(Tarieven!$A$4:$E$7,MATCH($B58,Tarieven!$A$4:$A$7,0),2)</f>
        <v/>
      </c>
      <c r="L58" s="7">
        <f>IF($K58="plek",$G58,IF($K58="m1",$H58,$J58))</f>
        <v/>
      </c>
      <c r="M58" s="8">
        <f>INDEX(Tarieven!$A$4:$E$7,MATCH($B58,Tarieven!$A$4:$A$7,0),3)</f>
        <v/>
      </c>
      <c r="N58" s="8">
        <f>INDEX(Tarieven!$A$4:$E$7,MATCH($B58,Tarieven!$A$4:$A$7,0),4)</f>
        <v/>
      </c>
      <c r="O58" s="8">
        <f>IFERROR($L58*$M58,0)</f>
        <v/>
      </c>
      <c r="P58" s="8">
        <f>IFERROR($L58*$N58,0)</f>
        <v/>
      </c>
      <c r="Q58" s="2" t="inlineStr">
        <is>
          <t>normaal</t>
        </is>
      </c>
      <c r="R58" s="2" t="inlineStr">
        <is>
          <t>2026-07-21</t>
        </is>
      </c>
      <c r="S58" s="2" t="n">
        <v>30</v>
      </c>
      <c r="T58" s="2" t="n">
        <v>52.41395</v>
      </c>
      <c r="U58" s="2" t="n">
        <v>4.89235</v>
      </c>
      <c r="V58" s="2" t="inlineStr">
        <is>
          <t>Kleine Zonneplein 4, Amsterdam</t>
        </is>
      </c>
      <c r="W58" s="2" t="inlineStr">
        <is>
          <t>Asfalt Schouw NOORD — 26 augustus 2026</t>
        </is>
      </c>
      <c r="X58" s="2" t="inlineStr">
        <is>
          <t>20/49</t>
        </is>
      </c>
      <c r="Y58" s="2" t="inlineStr">
        <is>
          <t>057-kleinezonneplein.jpg</t>
        </is>
      </c>
      <c r="Z58" s="9" t="inlineStr">
        <is>
          <t>handgeschreven code "HB" in de kantlijn</t>
        </is>
      </c>
      <c r="AA58" s="9" t="inlineStr"/>
      <c r="AB58" s="2" t="inlineStr">
        <is>
          <t>SOK-AMS-KLEINE-ZONNEPLEIN</t>
        </is>
      </c>
      <c r="AC58" s="2" t="inlineStr"/>
      <c r="AD58" s="2" t="n">
        <v>2</v>
      </c>
    </row>
    <row r="59">
      <c r="A59" s="2" t="inlineStr">
        <is>
          <t>SOK-AMS-2026-058</t>
        </is>
      </c>
      <c r="B59" s="2" t="inlineStr">
        <is>
          <t>Hotbox werkzaamheden</t>
        </is>
      </c>
      <c r="C59" s="2" t="inlineStr">
        <is>
          <t>Zonneplein</t>
        </is>
      </c>
      <c r="D59" s="2" t="inlineStr">
        <is>
          <t>Tuindorp Oostzaan</t>
        </is>
      </c>
      <c r="E59" s="2" t="inlineStr">
        <is>
          <t>Zonnepin Nr. 3. 3.30 x 1.90</t>
        </is>
      </c>
      <c r="F59" s="2" t="inlineStr">
        <is>
          <t>3,30 × 1,90 m  (samen 6,3 m²)</t>
        </is>
      </c>
      <c r="G59" s="2" t="n">
        <v>1</v>
      </c>
      <c r="H59" s="7" t="n">
        <v>3.3</v>
      </c>
      <c r="I59" s="7" t="n">
        <v>1.9</v>
      </c>
      <c r="J59" s="7" t="n">
        <v>6.27</v>
      </c>
      <c r="K59" s="2">
        <f>INDEX(Tarieven!$A$4:$E$7,MATCH($B59,Tarieven!$A$4:$A$7,0),2)</f>
        <v/>
      </c>
      <c r="L59" s="7">
        <f>IF($K59="plek",$G59,IF($K59="m1",$H59,$J59))</f>
        <v/>
      </c>
      <c r="M59" s="8">
        <f>INDEX(Tarieven!$A$4:$E$7,MATCH($B59,Tarieven!$A$4:$A$7,0),3)</f>
        <v/>
      </c>
      <c r="N59" s="8">
        <f>INDEX(Tarieven!$A$4:$E$7,MATCH($B59,Tarieven!$A$4:$A$7,0),4)</f>
        <v/>
      </c>
      <c r="O59" s="8">
        <f>IFERROR($L59*$M59,0)</f>
        <v/>
      </c>
      <c r="P59" s="8">
        <f>IFERROR($L59*$N59,0)</f>
        <v/>
      </c>
      <c r="Q59" s="2" t="inlineStr">
        <is>
          <t>normaal</t>
        </is>
      </c>
      <c r="R59" s="2" t="inlineStr">
        <is>
          <t>2026-07-21</t>
        </is>
      </c>
      <c r="S59" s="2" t="n">
        <v>30</v>
      </c>
      <c r="T59" s="2" t="n">
        <v>52.41426</v>
      </c>
      <c r="U59" s="2" t="n">
        <v>4.89187</v>
      </c>
      <c r="V59" s="2" t="inlineStr">
        <is>
          <t>Kleine Zonneplein 5, Amsterdam</t>
        </is>
      </c>
      <c r="W59" s="2" t="inlineStr">
        <is>
          <t>Asfalt Schouw NOORD — 26 augustus 2026</t>
        </is>
      </c>
      <c r="X59" s="2" t="inlineStr">
        <is>
          <t>20/49</t>
        </is>
      </c>
      <c r="Y59" s="2" t="inlineStr">
        <is>
          <t>058-zonneplein.jpg</t>
        </is>
      </c>
      <c r="Z59" s="9" t="inlineStr">
        <is>
          <t>handgeschreven code "HB" in de kantlijn</t>
        </is>
      </c>
      <c r="AA59" s="9" t="inlineStr"/>
      <c r="AB59" s="2" t="inlineStr">
        <is>
          <t>SOK-AMS-ZONNEPLEIN</t>
        </is>
      </c>
      <c r="AC59" s="2" t="inlineStr"/>
      <c r="AD59" s="2" t="n">
        <v>2</v>
      </c>
    </row>
    <row r="60">
      <c r="A60" s="2" t="inlineStr">
        <is>
          <t>SOK-AMS-2026-059</t>
        </is>
      </c>
      <c r="B60" s="2" t="inlineStr">
        <is>
          <t>Asfalt – nog in te delen</t>
        </is>
      </c>
      <c r="C60" s="2" t="inlineStr">
        <is>
          <t>Kleine Beerstraat</t>
        </is>
      </c>
      <c r="D60" s="2" t="inlineStr">
        <is>
          <t>Tuindorp Oostzaan</t>
        </is>
      </c>
      <c r="E60" s="2" t="inlineStr">
        <is>
          <t>Kleine Beerstr nr. 21 3.10 x 0.80</t>
        </is>
      </c>
      <c r="F60" s="2" t="inlineStr">
        <is>
          <t>3,10 × 0,80 m  (samen 2,5 m²)</t>
        </is>
      </c>
      <c r="G60" s="2" t="n">
        <v>1</v>
      </c>
      <c r="H60" s="7" t="n">
        <v>3.1</v>
      </c>
      <c r="I60" s="7" t="n">
        <v>0.8</v>
      </c>
      <c r="J60" s="7" t="n">
        <v>2.48</v>
      </c>
      <c r="K60" s="2">
        <f>INDEX(Tarieven!$A$4:$E$7,MATCH($B60,Tarieven!$A$4:$A$7,0),2)</f>
        <v/>
      </c>
      <c r="L60" s="7">
        <f>IF($K60="plek",$G60,IF($K60="m1",$H60,$J60))</f>
        <v/>
      </c>
      <c r="M60" s="8">
        <f>INDEX(Tarieven!$A$4:$E$7,MATCH($B60,Tarieven!$A$4:$A$7,0),3)</f>
        <v/>
      </c>
      <c r="N60" s="8">
        <f>INDEX(Tarieven!$A$4:$E$7,MATCH($B60,Tarieven!$A$4:$A$7,0),4)</f>
        <v/>
      </c>
      <c r="O60" s="8">
        <f>IFERROR($L60*$M60,0)</f>
        <v/>
      </c>
      <c r="P60" s="8">
        <f>IFERROR($L60*$N60,0)</f>
        <v/>
      </c>
      <c r="Q60" s="2" t="inlineStr">
        <is>
          <t>normaal</t>
        </is>
      </c>
      <c r="R60" s="2" t="inlineStr">
        <is>
          <t>2026-07-21</t>
        </is>
      </c>
      <c r="S60" s="2" t="n">
        <v>30</v>
      </c>
      <c r="T60" s="2" t="n">
        <v>52.41411</v>
      </c>
      <c r="U60" s="2" t="n">
        <v>4.89163</v>
      </c>
      <c r="V60" s="2" t="inlineStr">
        <is>
          <t>Kleine Beerstraat 19, Amsterdam</t>
        </is>
      </c>
      <c r="W60" s="2" t="inlineStr">
        <is>
          <t>Asfalt Schouw NOORD — 26 augustus 2026</t>
        </is>
      </c>
      <c r="X60" s="2" t="inlineStr">
        <is>
          <t>20/49</t>
        </is>
      </c>
      <c r="Y60" s="2" t="inlineStr">
        <is>
          <t>059-kleinebeerstraat.jpg</t>
        </is>
      </c>
      <c r="Z60" s="9" t="inlineStr">
        <is>
          <t>geen code in de kantlijn en geen asfaltsoort in de tekst</t>
        </is>
      </c>
      <c r="AA60" s="9" t="inlineStr"/>
      <c r="AB60" s="2" t="inlineStr">
        <is>
          <t>SOK-AMS-KLEINE-BEERSTRAAT</t>
        </is>
      </c>
      <c r="AC60" s="2" t="inlineStr"/>
      <c r="AD60" s="2" t="n">
        <v>1</v>
      </c>
    </row>
    <row r="61">
      <c r="A61" s="2" t="inlineStr">
        <is>
          <t>SOK-AMS-2026-060</t>
        </is>
      </c>
      <c r="B61" s="2" t="inlineStr">
        <is>
          <t>Hotbox werkzaamheden</t>
        </is>
      </c>
      <c r="C61" s="2" t="inlineStr">
        <is>
          <t>Planetenplein</t>
        </is>
      </c>
      <c r="D61" s="2" t="inlineStr">
        <is>
          <t>Tuindorp Oostzaan</t>
        </is>
      </c>
      <c r="E61" s="2" t="inlineStr">
        <is>
          <t>Planetenpin. Nr. 20 foto nr 1 5.20 x 2.10. Nr. 24 foto nr. 2. 4.35 x 1.20</t>
        </is>
      </c>
      <c r="F61" s="2" t="inlineStr">
        <is>
          <t>5,20 × 2,10 m + 4,35 × 1,20 m  (samen 16,1 m²)</t>
        </is>
      </c>
      <c r="G61" s="2" t="n">
        <v>2</v>
      </c>
      <c r="H61" s="7" t="n">
        <v>9.550000000000001</v>
      </c>
      <c r="I61" s="7" t="n">
        <v>1.2</v>
      </c>
      <c r="J61" s="7" t="n">
        <v>16.14</v>
      </c>
      <c r="K61" s="2">
        <f>INDEX(Tarieven!$A$4:$E$7,MATCH($B61,Tarieven!$A$4:$A$7,0),2)</f>
        <v/>
      </c>
      <c r="L61" s="7">
        <f>IF($K61="plek",$G61,IF($K61="m1",$H61,$J61))</f>
        <v/>
      </c>
      <c r="M61" s="8">
        <f>INDEX(Tarieven!$A$4:$E$7,MATCH($B61,Tarieven!$A$4:$A$7,0),3)</f>
        <v/>
      </c>
      <c r="N61" s="8">
        <f>INDEX(Tarieven!$A$4:$E$7,MATCH($B61,Tarieven!$A$4:$A$7,0),4)</f>
        <v/>
      </c>
      <c r="O61" s="8">
        <f>IFERROR($L61*$M61,0)</f>
        <v/>
      </c>
      <c r="P61" s="8">
        <f>IFERROR($L61*$N61,0)</f>
        <v/>
      </c>
      <c r="Q61" s="2" t="inlineStr">
        <is>
          <t>normaal</t>
        </is>
      </c>
      <c r="R61" s="2" t="inlineStr">
        <is>
          <t>2026-07-21</t>
        </is>
      </c>
      <c r="S61" s="2" t="n">
        <v>30</v>
      </c>
      <c r="T61" s="2" t="n">
        <v>52.41439</v>
      </c>
      <c r="U61" s="2" t="n">
        <v>4.8915</v>
      </c>
      <c r="V61" s="2" t="inlineStr">
        <is>
          <t>Kleine Beerstraat 18, Amsterdam</t>
        </is>
      </c>
      <c r="W61" s="2" t="inlineStr">
        <is>
          <t>Asfalt Schouw NOORD — 26 augustus 2026</t>
        </is>
      </c>
      <c r="X61" s="2" t="inlineStr">
        <is>
          <t>21/49</t>
        </is>
      </c>
      <c r="Y61" s="2" t="inlineStr">
        <is>
          <t>060-planetenplein.jpg</t>
        </is>
      </c>
      <c r="Z61" s="9" t="inlineStr">
        <is>
          <t>handgeschreven code "HB" in de kantlijn</t>
        </is>
      </c>
      <c r="AA61" s="9" t="inlineStr"/>
      <c r="AB61" s="2" t="inlineStr">
        <is>
          <t>SOK-AMS-PLANETENPLEIN</t>
        </is>
      </c>
      <c r="AC61" s="2" t="inlineStr"/>
      <c r="AD61" s="2" t="n">
        <v>2</v>
      </c>
    </row>
    <row r="62">
      <c r="A62" s="2" t="inlineStr">
        <is>
          <t>SOK-AMS-2026-061</t>
        </is>
      </c>
      <c r="B62" s="2" t="inlineStr">
        <is>
          <t>Hotbox werkzaamheden</t>
        </is>
      </c>
      <c r="C62" s="2" t="inlineStr">
        <is>
          <t>Maanstraat</t>
        </is>
      </c>
      <c r="D62" s="2" t="inlineStr">
        <is>
          <t>Tuindorp Oostzaan</t>
        </is>
      </c>
      <c r="E62" s="2" t="inlineStr">
        <is>
          <t>Maanstr. Nr. 107 1.10 x 1.20</t>
        </is>
      </c>
      <c r="F62" s="2" t="inlineStr">
        <is>
          <t>1,20 × 1,10 m  (samen 1,3 m²)</t>
        </is>
      </c>
      <c r="G62" s="2" t="n">
        <v>1</v>
      </c>
      <c r="H62" s="7" t="n">
        <v>1.2</v>
      </c>
      <c r="I62" s="7" t="n">
        <v>1.1</v>
      </c>
      <c r="J62" s="7" t="n">
        <v>1.32</v>
      </c>
      <c r="K62" s="2">
        <f>INDEX(Tarieven!$A$4:$E$7,MATCH($B62,Tarieven!$A$4:$A$7,0),2)</f>
        <v/>
      </c>
      <c r="L62" s="7">
        <f>IF($K62="plek",$G62,IF($K62="m1",$H62,$J62))</f>
        <v/>
      </c>
      <c r="M62" s="8">
        <f>INDEX(Tarieven!$A$4:$E$7,MATCH($B62,Tarieven!$A$4:$A$7,0),3)</f>
        <v/>
      </c>
      <c r="N62" s="8">
        <f>INDEX(Tarieven!$A$4:$E$7,MATCH($B62,Tarieven!$A$4:$A$7,0),4)</f>
        <v/>
      </c>
      <c r="O62" s="8">
        <f>IFERROR($L62*$M62,0)</f>
        <v/>
      </c>
      <c r="P62" s="8">
        <f>IFERROR($L62*$N62,0)</f>
        <v/>
      </c>
      <c r="Q62" s="2" t="inlineStr">
        <is>
          <t>normaal</t>
        </is>
      </c>
      <c r="R62" s="2" t="inlineStr">
        <is>
          <t>2026-07-21</t>
        </is>
      </c>
      <c r="S62" s="2" t="n">
        <v>30</v>
      </c>
      <c r="T62" s="2" t="n">
        <v>52.41457</v>
      </c>
      <c r="U62" s="2" t="n">
        <v>4.89016</v>
      </c>
      <c r="V62" s="2" t="inlineStr">
        <is>
          <t>Maanstraat 82, Amsterdam</t>
        </is>
      </c>
      <c r="W62" s="2" t="inlineStr">
        <is>
          <t>Asfalt Schouw NOORD — 26 augustus 2026</t>
        </is>
      </c>
      <c r="X62" s="2" t="inlineStr">
        <is>
          <t>21/49</t>
        </is>
      </c>
      <c r="Y62" s="2" t="inlineStr">
        <is>
          <t>061-maanstraat.jpg</t>
        </is>
      </c>
      <c r="Z62" s="9" t="inlineStr">
        <is>
          <t>handgeschreven code "HB" in de kantlijn</t>
        </is>
      </c>
      <c r="AA62" s="9" t="inlineStr"/>
      <c r="AB62" s="2" t="inlineStr">
        <is>
          <t>SOK-AMS-MAANSTRAAT</t>
        </is>
      </c>
      <c r="AC62" s="2" t="inlineStr"/>
      <c r="AD62" s="2" t="n">
        <v>1</v>
      </c>
    </row>
    <row r="63">
      <c r="A63" s="2" t="inlineStr">
        <is>
          <t>SOK-AMS-2026-062</t>
        </is>
      </c>
      <c r="B63" s="2" t="inlineStr">
        <is>
          <t>Asfalt – nog in te delen</t>
        </is>
      </c>
      <c r="C63" s="2" t="inlineStr">
        <is>
          <t>Maanstraat</t>
        </is>
      </c>
      <c r="D63" s="2" t="inlineStr">
        <is>
          <t>Tuindorp Oostzaan</t>
        </is>
      </c>
      <c r="E63" s="2" t="inlineStr">
        <is>
          <t>Maanstr. Nr. 75 1.90 x 2.00</t>
        </is>
      </c>
      <c r="F63" s="2" t="inlineStr">
        <is>
          <t>2,00 × 1,90 m  (samen 3,8 m²)</t>
        </is>
      </c>
      <c r="G63" s="2" t="n">
        <v>1</v>
      </c>
      <c r="H63" s="7" t="n">
        <v>2</v>
      </c>
      <c r="I63" s="7" t="n">
        <v>1.9</v>
      </c>
      <c r="J63" s="7" t="n">
        <v>3.8</v>
      </c>
      <c r="K63" s="2">
        <f>INDEX(Tarieven!$A$4:$E$7,MATCH($B63,Tarieven!$A$4:$A$7,0),2)</f>
        <v/>
      </c>
      <c r="L63" s="7">
        <f>IF($K63="plek",$G63,IF($K63="m1",$H63,$J63))</f>
        <v/>
      </c>
      <c r="M63" s="8">
        <f>INDEX(Tarieven!$A$4:$E$7,MATCH($B63,Tarieven!$A$4:$A$7,0),3)</f>
        <v/>
      </c>
      <c r="N63" s="8">
        <f>INDEX(Tarieven!$A$4:$E$7,MATCH($B63,Tarieven!$A$4:$A$7,0),4)</f>
        <v/>
      </c>
      <c r="O63" s="8">
        <f>IFERROR($L63*$M63,0)</f>
        <v/>
      </c>
      <c r="P63" s="8">
        <f>IFERROR($L63*$N63,0)</f>
        <v/>
      </c>
      <c r="Q63" s="2" t="inlineStr">
        <is>
          <t>normaal</t>
        </is>
      </c>
      <c r="R63" s="2" t="inlineStr">
        <is>
          <t>2026-07-21</t>
        </is>
      </c>
      <c r="S63" s="2" t="n">
        <v>30</v>
      </c>
      <c r="T63" s="2" t="n">
        <v>52.41407</v>
      </c>
      <c r="U63" s="2" t="n">
        <v>4.88912</v>
      </c>
      <c r="V63" s="2" t="inlineStr">
        <is>
          <t>Maanstraat 71, Amsterdam</t>
        </is>
      </c>
      <c r="W63" s="2" t="inlineStr">
        <is>
          <t>Asfalt Schouw NOORD — 26 augustus 2026</t>
        </is>
      </c>
      <c r="X63" s="2" t="inlineStr">
        <is>
          <t>21/49</t>
        </is>
      </c>
      <c r="Y63" s="2" t="inlineStr">
        <is>
          <t>062-maanstraat.jpg</t>
        </is>
      </c>
      <c r="Z63" s="9" t="inlineStr">
        <is>
          <t>geen code in de kantlijn en geen asfaltsoort in de tekst</t>
        </is>
      </c>
      <c r="AA63" s="9" t="inlineStr"/>
      <c r="AB63" s="2" t="inlineStr">
        <is>
          <t>SOK-AMS-MAANSTRAAT</t>
        </is>
      </c>
      <c r="AC63" s="2" t="inlineStr"/>
      <c r="AD63" s="2" t="n">
        <v>1</v>
      </c>
    </row>
    <row r="64">
      <c r="A64" s="2" t="inlineStr">
        <is>
          <t>SOK-AMS-2026-063</t>
        </is>
      </c>
      <c r="B64" s="2" t="inlineStr">
        <is>
          <t>Asfalt machinaal</t>
        </is>
      </c>
      <c r="C64" s="2" t="inlineStr">
        <is>
          <t>Maanstraat</t>
        </is>
      </c>
      <c r="D64" s="2" t="inlineStr">
        <is>
          <t>Tuindorp Oostzaan</t>
        </is>
      </c>
      <c r="E64" s="2" t="inlineStr">
        <is>
          <t>Maanstr.t.h.v. nr . 43 vanaf verlengde van de Orionstr. 17.55 x 1.20</t>
        </is>
      </c>
      <c r="F64" s="2" t="inlineStr">
        <is>
          <t>17,55 × 1,20 m  (samen 21,1 m²)</t>
        </is>
      </c>
      <c r="G64" s="2" t="n">
        <v>1</v>
      </c>
      <c r="H64" s="7" t="n">
        <v>17.55</v>
      </c>
      <c r="I64" s="7" t="n">
        <v>1.2</v>
      </c>
      <c r="J64" s="7" t="n">
        <v>21.06</v>
      </c>
      <c r="K64" s="2">
        <f>INDEX(Tarieven!$A$4:$E$7,MATCH($B64,Tarieven!$A$4:$A$7,0),2)</f>
        <v/>
      </c>
      <c r="L64" s="7">
        <f>IF($K64="plek",$G64,IF($K64="m1",$H64,$J64))</f>
        <v/>
      </c>
      <c r="M64" s="8">
        <f>INDEX(Tarieven!$A$4:$E$7,MATCH($B64,Tarieven!$A$4:$A$7,0),3)</f>
        <v/>
      </c>
      <c r="N64" s="8">
        <f>INDEX(Tarieven!$A$4:$E$7,MATCH($B64,Tarieven!$A$4:$A$7,0),4)</f>
        <v/>
      </c>
      <c r="O64" s="8">
        <f>IFERROR($L64*$M64,0)</f>
        <v/>
      </c>
      <c r="P64" s="8">
        <f>IFERROR($L64*$N64,0)</f>
        <v/>
      </c>
      <c r="Q64" s="2" t="inlineStr">
        <is>
          <t>normaal</t>
        </is>
      </c>
      <c r="R64" s="2" t="inlineStr">
        <is>
          <t>2026-07-21</t>
        </is>
      </c>
      <c r="S64" s="2" t="n">
        <v>30</v>
      </c>
      <c r="T64" s="2" t="n">
        <v>52.41359</v>
      </c>
      <c r="U64" s="2" t="n">
        <v>4.88853</v>
      </c>
      <c r="V64" s="2" t="inlineStr">
        <is>
          <t>Maanstraat 45, Amsterdam</t>
        </is>
      </c>
      <c r="W64" s="2" t="inlineStr">
        <is>
          <t>Asfalt Schouw NOORD — 26 augustus 2026</t>
        </is>
      </c>
      <c r="X64" s="2" t="inlineStr">
        <is>
          <t>22/49</t>
        </is>
      </c>
      <c r="Y64" s="2" t="inlineStr">
        <is>
          <t>063-maanstraat.jpg</t>
        </is>
      </c>
      <c r="Z64" s="9" t="inlineStr">
        <is>
          <t>handgeschreven code "AS" in de kantlijn</t>
        </is>
      </c>
      <c r="AA64" s="9" t="inlineStr"/>
      <c r="AB64" s="2" t="inlineStr">
        <is>
          <t>SOK-AMS-MAANSTRAAT</t>
        </is>
      </c>
      <c r="AC64" s="2" t="inlineStr"/>
      <c r="AD64" s="2" t="n">
        <v>2</v>
      </c>
    </row>
    <row r="65">
      <c r="A65" s="2" t="inlineStr">
        <is>
          <t>SOK-AMS-2026-064</t>
        </is>
      </c>
      <c r="B65" s="2" t="inlineStr">
        <is>
          <t>Asfalt – nog in te delen</t>
        </is>
      </c>
      <c r="C65" s="2" t="inlineStr">
        <is>
          <t>Orionplantsoen</t>
        </is>
      </c>
      <c r="D65" s="2" t="inlineStr">
        <is>
          <t>Tuindorp Oostzaan</t>
        </is>
      </c>
      <c r="E65" s="2" t="inlineStr">
        <is>
          <t>Orionplantsoen nr 42 tot Maanstr 60.00 x 1.70</t>
        </is>
      </c>
      <c r="F65" s="2" t="inlineStr">
        <is>
          <t>60,00 × 1,70 m  (samen 102,0 m²)</t>
        </is>
      </c>
      <c r="G65" s="2" t="n">
        <v>1</v>
      </c>
      <c r="H65" s="7" t="n">
        <v>60</v>
      </c>
      <c r="I65" s="7" t="n">
        <v>1.7</v>
      </c>
      <c r="J65" s="7" t="n">
        <v>102</v>
      </c>
      <c r="K65" s="2">
        <f>INDEX(Tarieven!$A$4:$E$7,MATCH($B65,Tarieven!$A$4:$A$7,0),2)</f>
        <v/>
      </c>
      <c r="L65" s="7">
        <f>IF($K65="plek",$G65,IF($K65="m1",$H65,$J65))</f>
        <v/>
      </c>
      <c r="M65" s="8">
        <f>INDEX(Tarieven!$A$4:$E$7,MATCH($B65,Tarieven!$A$4:$A$7,0),3)</f>
        <v/>
      </c>
      <c r="N65" s="8">
        <f>INDEX(Tarieven!$A$4:$E$7,MATCH($B65,Tarieven!$A$4:$A$7,0),4)</f>
        <v/>
      </c>
      <c r="O65" s="8">
        <f>IFERROR($L65*$M65,0)</f>
        <v/>
      </c>
      <c r="P65" s="8">
        <f>IFERROR($L65*$N65,0)</f>
        <v/>
      </c>
      <c r="Q65" s="2" t="inlineStr">
        <is>
          <t>normaal</t>
        </is>
      </c>
      <c r="R65" s="2" t="inlineStr">
        <is>
          <t>2026-07-21</t>
        </is>
      </c>
      <c r="S65" s="2" t="n">
        <v>30</v>
      </c>
      <c r="T65" s="2" t="n">
        <v>52.41349</v>
      </c>
      <c r="U65" s="2" t="n">
        <v>4.88764</v>
      </c>
      <c r="V65" s="2" t="inlineStr">
        <is>
          <t>Orionplantsoen 24, Amsterdam</t>
        </is>
      </c>
      <c r="W65" s="2" t="inlineStr">
        <is>
          <t>Asfalt Schouw NOORD — 26 augustus 2026</t>
        </is>
      </c>
      <c r="X65" s="2" t="inlineStr">
        <is>
          <t>22/49</t>
        </is>
      </c>
      <c r="Y65" s="2" t="inlineStr">
        <is>
          <t>064-orionplantsoen.jpg</t>
        </is>
      </c>
      <c r="Z65" s="9" t="inlineStr">
        <is>
          <t>geen code in de kantlijn en geen asfaltsoort in de tekst</t>
        </is>
      </c>
      <c r="AA65" s="9" t="inlineStr"/>
      <c r="AB65" s="2" t="inlineStr">
        <is>
          <t>SOK-AMS-ORIONPLANTSOEN</t>
        </is>
      </c>
      <c r="AC65" s="2" t="inlineStr"/>
      <c r="AD65" s="2" t="n">
        <v>3</v>
      </c>
    </row>
    <row r="66">
      <c r="A66" s="2" t="inlineStr">
        <is>
          <t>SOK-AMS-2026-065</t>
        </is>
      </c>
      <c r="B66" s="2" t="inlineStr">
        <is>
          <t>Asfalt – nog in te delen</t>
        </is>
      </c>
      <c r="C66" s="2" t="inlineStr">
        <is>
          <t>Maanstraat</t>
        </is>
      </c>
      <c r="D66" s="2" t="inlineStr">
        <is>
          <t>Tuindorp Oostzaan</t>
        </is>
      </c>
      <c r="E66" s="2" t="inlineStr">
        <is>
          <t>Maanstr. Nr. 26 8.10 x 1.40</t>
        </is>
      </c>
      <c r="F66" s="2" t="inlineStr">
        <is>
          <t>8,10 × 1,40 m  (samen 11,3 m²)</t>
        </is>
      </c>
      <c r="G66" s="2" t="n">
        <v>1</v>
      </c>
      <c r="H66" s="7" t="n">
        <v>8.1</v>
      </c>
      <c r="I66" s="7" t="n">
        <v>1.4</v>
      </c>
      <c r="J66" s="7" t="n">
        <v>11.34</v>
      </c>
      <c r="K66" s="2">
        <f>INDEX(Tarieven!$A$4:$E$7,MATCH($B66,Tarieven!$A$4:$A$7,0),2)</f>
        <v/>
      </c>
      <c r="L66" s="7">
        <f>IF($K66="plek",$G66,IF($K66="m1",$H66,$J66))</f>
        <v/>
      </c>
      <c r="M66" s="8">
        <f>INDEX(Tarieven!$A$4:$E$7,MATCH($B66,Tarieven!$A$4:$A$7,0),3)</f>
        <v/>
      </c>
      <c r="N66" s="8">
        <f>INDEX(Tarieven!$A$4:$E$7,MATCH($B66,Tarieven!$A$4:$A$7,0),4)</f>
        <v/>
      </c>
      <c r="O66" s="8">
        <f>IFERROR($L66*$M66,0)</f>
        <v/>
      </c>
      <c r="P66" s="8">
        <f>IFERROR($L66*$N66,0)</f>
        <v/>
      </c>
      <c r="Q66" s="2" t="inlineStr">
        <is>
          <t>normaal</t>
        </is>
      </c>
      <c r="R66" s="2" t="inlineStr">
        <is>
          <t>2026-07-21</t>
        </is>
      </c>
      <c r="S66" s="2" t="n">
        <v>30</v>
      </c>
      <c r="T66" s="2" t="n">
        <v>52.41359</v>
      </c>
      <c r="U66" s="2" t="n">
        <v>4.88853</v>
      </c>
      <c r="V66" s="2" t="inlineStr">
        <is>
          <t>Maanstraat 45, Amsterdam</t>
        </is>
      </c>
      <c r="W66" s="2" t="inlineStr">
        <is>
          <t>Asfalt Schouw NOORD — 26 augustus 2026</t>
        </is>
      </c>
      <c r="X66" s="2" t="inlineStr">
        <is>
          <t>22/49</t>
        </is>
      </c>
      <c r="Y66" s="2" t="inlineStr">
        <is>
          <t>065-maanstraat.jpg</t>
        </is>
      </c>
      <c r="Z66" s="9" t="inlineStr">
        <is>
          <t>geen code in de kantlijn en geen asfaltsoort in de tekst</t>
        </is>
      </c>
      <c r="AA66" s="9" t="inlineStr"/>
      <c r="AB66" s="2" t="inlineStr">
        <is>
          <t>SOK-AMS-MAANSTRAAT</t>
        </is>
      </c>
      <c r="AC66" s="2" t="inlineStr"/>
      <c r="AD66" s="2" t="n">
        <v>2</v>
      </c>
    </row>
    <row r="67">
      <c r="A67" s="2" t="inlineStr">
        <is>
          <t>SOK-AMS-2026-066</t>
        </is>
      </c>
      <c r="B67" s="2" t="inlineStr">
        <is>
          <t>Asfalt machinaal</t>
        </is>
      </c>
      <c r="C67" s="2" t="inlineStr">
        <is>
          <t>Rigelstraat</t>
        </is>
      </c>
      <c r="D67" s="2" t="inlineStr">
        <is>
          <t>Tuindorp Oostzaan</t>
        </is>
      </c>
      <c r="E67" s="2" t="inlineStr">
        <is>
          <t>Rigelstr. Nr. 39 tot Maanstr 19.15 x 1.20</t>
        </is>
      </c>
      <c r="F67" s="2" t="inlineStr">
        <is>
          <t>19,15 × 1,20 m  (samen 23,0 m²)</t>
        </is>
      </c>
      <c r="G67" s="2" t="n">
        <v>1</v>
      </c>
      <c r="H67" s="7" t="n">
        <v>19.15</v>
      </c>
      <c r="I67" s="7" t="n">
        <v>1.2</v>
      </c>
      <c r="J67" s="7" t="n">
        <v>22.98</v>
      </c>
      <c r="K67" s="2">
        <f>INDEX(Tarieven!$A$4:$E$7,MATCH($B67,Tarieven!$A$4:$A$7,0),2)</f>
        <v/>
      </c>
      <c r="L67" s="7">
        <f>IF($K67="plek",$G67,IF($K67="m1",$H67,$J67))</f>
        <v/>
      </c>
      <c r="M67" s="8">
        <f>INDEX(Tarieven!$A$4:$E$7,MATCH($B67,Tarieven!$A$4:$A$7,0),3)</f>
        <v/>
      </c>
      <c r="N67" s="8">
        <f>INDEX(Tarieven!$A$4:$E$7,MATCH($B67,Tarieven!$A$4:$A$7,0),4)</f>
        <v/>
      </c>
      <c r="O67" s="8">
        <f>IFERROR($L67*$M67,0)</f>
        <v/>
      </c>
      <c r="P67" s="8">
        <f>IFERROR($L67*$N67,0)</f>
        <v/>
      </c>
      <c r="Q67" s="2" t="inlineStr">
        <is>
          <t>normaal</t>
        </is>
      </c>
      <c r="R67" s="2" t="inlineStr">
        <is>
          <t>2026-07-21</t>
        </is>
      </c>
      <c r="S67" s="2" t="n">
        <v>30</v>
      </c>
      <c r="T67" s="2" t="n">
        <v>52.41261</v>
      </c>
      <c r="U67" s="2" t="n">
        <v>4.88791</v>
      </c>
      <c r="V67" s="2" t="inlineStr">
        <is>
          <t>Rigelstraat 16, Amsterdam</t>
        </is>
      </c>
      <c r="W67" s="2" t="inlineStr">
        <is>
          <t>Asfalt Schouw NOORD — 26 augustus 2026</t>
        </is>
      </c>
      <c r="X67" s="2" t="inlineStr">
        <is>
          <t>23/49</t>
        </is>
      </c>
      <c r="Y67" s="2" t="inlineStr">
        <is>
          <t>066-rigelstraat.jpg</t>
        </is>
      </c>
      <c r="Z67" s="9" t="inlineStr">
        <is>
          <t>handgeschreven code "AS" in de kantlijn</t>
        </is>
      </c>
      <c r="AA67" s="9" t="inlineStr"/>
      <c r="AB67" s="2" t="inlineStr">
        <is>
          <t>SOK-AMS-RIGELSTRAAT</t>
        </is>
      </c>
      <c r="AC67" s="2" t="inlineStr"/>
      <c r="AD67" s="2" t="n">
        <v>2</v>
      </c>
    </row>
    <row r="68">
      <c r="A68" s="2" t="inlineStr">
        <is>
          <t>SOK-AMS-2026-067</t>
        </is>
      </c>
      <c r="B68" s="2" t="inlineStr">
        <is>
          <t>Asfalt machinaal</t>
        </is>
      </c>
      <c r="C68" s="2" t="inlineStr">
        <is>
          <t>Rigelstraat</t>
        </is>
      </c>
      <c r="D68" s="2" t="inlineStr"/>
      <c r="E68" s="2" t="inlineStr">
        <is>
          <t>Rigelstr. Nr. 41. 9.00 x 1.10</t>
        </is>
      </c>
      <c r="F68" s="2" t="inlineStr">
        <is>
          <t>9,00 × 1,10 m  (samen 9,9 m²)</t>
        </is>
      </c>
      <c r="G68" s="2" t="n">
        <v>1</v>
      </c>
      <c r="H68" s="7" t="n">
        <v>9</v>
      </c>
      <c r="I68" s="7" t="n">
        <v>1.1</v>
      </c>
      <c r="J68" s="7" t="n">
        <v>9.9</v>
      </c>
      <c r="K68" s="2">
        <f>INDEX(Tarieven!$A$4:$E$7,MATCH($B68,Tarieven!$A$4:$A$7,0),2)</f>
        <v/>
      </c>
      <c r="L68" s="7">
        <f>IF($K68="plek",$G68,IF($K68="m1",$H68,$J68))</f>
        <v/>
      </c>
      <c r="M68" s="8">
        <f>INDEX(Tarieven!$A$4:$E$7,MATCH($B68,Tarieven!$A$4:$A$7,0),3)</f>
        <v/>
      </c>
      <c r="N68" s="8">
        <f>INDEX(Tarieven!$A$4:$E$7,MATCH($B68,Tarieven!$A$4:$A$7,0),4)</f>
        <v/>
      </c>
      <c r="O68" s="8">
        <f>IFERROR($L68*$M68,0)</f>
        <v/>
      </c>
      <c r="P68" s="8">
        <f>IFERROR($L68*$N68,0)</f>
        <v/>
      </c>
      <c r="Q68" s="2" t="inlineStr">
        <is>
          <t>normaal</t>
        </is>
      </c>
      <c r="R68" s="2" t="inlineStr">
        <is>
          <t>2026-07-21</t>
        </is>
      </c>
      <c r="S68" s="2" t="n">
        <v>30</v>
      </c>
      <c r="T68" s="2" t="n">
        <v>52.41268</v>
      </c>
      <c r="U68" s="2" t="n">
        <v>4.88737</v>
      </c>
      <c r="V68" s="2" t="inlineStr">
        <is>
          <t>Maanstraat 11, Amsterdam</t>
        </is>
      </c>
      <c r="W68" s="2" t="inlineStr">
        <is>
          <t>Asfalt Schouw NOORD — 26 augustus 2026</t>
        </is>
      </c>
      <c r="X68" s="2" t="inlineStr">
        <is>
          <t>23/49</t>
        </is>
      </c>
      <c r="Y68" s="2" t="inlineStr">
        <is>
          <t>067-rigelstraat.jpg</t>
        </is>
      </c>
      <c r="Z68" s="9" t="inlineStr">
        <is>
          <t>handgeschreven code "AS" in de kantlijn</t>
        </is>
      </c>
      <c r="AA68" s="9" t="inlineStr"/>
      <c r="AB68" s="2" t="inlineStr">
        <is>
          <t>SOK-AMS-RIGELSTRAAT</t>
        </is>
      </c>
      <c r="AC68" s="2" t="inlineStr"/>
      <c r="AD68" s="2" t="n">
        <v>1</v>
      </c>
    </row>
    <row r="69">
      <c r="A69" s="2" t="inlineStr">
        <is>
          <t>SOK-AMS-2026-068</t>
        </is>
      </c>
      <c r="B69" s="2" t="inlineStr">
        <is>
          <t>Asfalt machinaal</t>
        </is>
      </c>
      <c r="C69" s="2" t="inlineStr">
        <is>
          <t>Rigelstraat</t>
        </is>
      </c>
      <c r="D69" s="2" t="inlineStr">
        <is>
          <t>Tuindorp Oostzaan</t>
        </is>
      </c>
      <c r="E69" s="2" t="inlineStr">
        <is>
          <t>Rigelstr. Nr. 28 11.40 x 1.20</t>
        </is>
      </c>
      <c r="F69" s="2" t="inlineStr">
        <is>
          <t>11,40 × 1,20 m  (samen 13,7 m²)</t>
        </is>
      </c>
      <c r="G69" s="2" t="n">
        <v>1</v>
      </c>
      <c r="H69" s="7" t="n">
        <v>11.4</v>
      </c>
      <c r="I69" s="7" t="n">
        <v>1.2</v>
      </c>
      <c r="J69" s="7" t="n">
        <v>13.68</v>
      </c>
      <c r="K69" s="2">
        <f>INDEX(Tarieven!$A$4:$E$7,MATCH($B69,Tarieven!$A$4:$A$7,0),2)</f>
        <v/>
      </c>
      <c r="L69" s="7">
        <f>IF($K69="plek",$G69,IF($K69="m1",$H69,$J69))</f>
        <v/>
      </c>
      <c r="M69" s="8">
        <f>INDEX(Tarieven!$A$4:$E$7,MATCH($B69,Tarieven!$A$4:$A$7,0),3)</f>
        <v/>
      </c>
      <c r="N69" s="8">
        <f>INDEX(Tarieven!$A$4:$E$7,MATCH($B69,Tarieven!$A$4:$A$7,0),4)</f>
        <v/>
      </c>
      <c r="O69" s="8">
        <f>IFERROR($L69*$M69,0)</f>
        <v/>
      </c>
      <c r="P69" s="8">
        <f>IFERROR($L69*$N69,0)</f>
        <v/>
      </c>
      <c r="Q69" s="2" t="inlineStr">
        <is>
          <t>normaal</t>
        </is>
      </c>
      <c r="R69" s="2" t="inlineStr">
        <is>
          <t>2026-07-21</t>
        </is>
      </c>
      <c r="S69" s="2" t="n">
        <v>30</v>
      </c>
      <c r="T69" s="2" t="n">
        <v>52.41288</v>
      </c>
      <c r="U69" s="2" t="n">
        <v>4.8869</v>
      </c>
      <c r="V69" s="2" t="inlineStr">
        <is>
          <t>Rigelstraat 51, Amsterdam</t>
        </is>
      </c>
      <c r="W69" s="2" t="inlineStr">
        <is>
          <t>Asfalt Schouw NOORD — 26 augustus 2026</t>
        </is>
      </c>
      <c r="X69" s="2" t="inlineStr">
        <is>
          <t>23/49</t>
        </is>
      </c>
      <c r="Y69" s="2" t="inlineStr">
        <is>
          <t>068-rigelstraat.jpg</t>
        </is>
      </c>
      <c r="Z69" s="9" t="inlineStr">
        <is>
          <t>handgeschreven code "AS" in de kantlijn</t>
        </is>
      </c>
      <c r="AA69" s="9" t="inlineStr"/>
      <c r="AB69" s="2" t="inlineStr">
        <is>
          <t>SOK-AMS-RIGELSTRAAT</t>
        </is>
      </c>
      <c r="AC69" s="2" t="inlineStr"/>
      <c r="AD69" s="2" t="n">
        <v>2</v>
      </c>
    </row>
    <row r="70">
      <c r="A70" s="2" t="inlineStr">
        <is>
          <t>SOK-AMS-2026-069</t>
        </is>
      </c>
      <c r="B70" s="2" t="inlineStr">
        <is>
          <t>Hotbox werkzaamheden</t>
        </is>
      </c>
      <c r="C70" s="2" t="inlineStr">
        <is>
          <t>Orionplantsoen</t>
        </is>
      </c>
      <c r="D70" s="2" t="inlineStr">
        <is>
          <t>Tuindorp Oostzaan</t>
        </is>
      </c>
      <c r="E70" s="2" t="inlineStr">
        <is>
          <t>Orionplantsoen nr. 1 tot Plejadenpin. 15.70 x 1.20</t>
        </is>
      </c>
      <c r="F70" s="2" t="inlineStr">
        <is>
          <t>15,70 × 1,20 m  (samen 18,8 m²)</t>
        </is>
      </c>
      <c r="G70" s="2" t="n">
        <v>1</v>
      </c>
      <c r="H70" s="7" t="n">
        <v>15.7</v>
      </c>
      <c r="I70" s="7" t="n">
        <v>1.2</v>
      </c>
      <c r="J70" s="7" t="n">
        <v>18.84</v>
      </c>
      <c r="K70" s="2">
        <f>INDEX(Tarieven!$A$4:$E$7,MATCH($B70,Tarieven!$A$4:$A$7,0),2)</f>
        <v/>
      </c>
      <c r="L70" s="7">
        <f>IF($K70="plek",$G70,IF($K70="m1",$H70,$J70))</f>
        <v/>
      </c>
      <c r="M70" s="8">
        <f>INDEX(Tarieven!$A$4:$E$7,MATCH($B70,Tarieven!$A$4:$A$7,0),3)</f>
        <v/>
      </c>
      <c r="N70" s="8">
        <f>INDEX(Tarieven!$A$4:$E$7,MATCH($B70,Tarieven!$A$4:$A$7,0),4)</f>
        <v/>
      </c>
      <c r="O70" s="8">
        <f>IFERROR($L70*$M70,0)</f>
        <v/>
      </c>
      <c r="P70" s="8">
        <f>IFERROR($L70*$N70,0)</f>
        <v/>
      </c>
      <c r="Q70" s="2" t="inlineStr">
        <is>
          <t>normaal</t>
        </is>
      </c>
      <c r="R70" s="2" t="inlineStr">
        <is>
          <t>2026-07-21</t>
        </is>
      </c>
      <c r="S70" s="2" t="n">
        <v>30</v>
      </c>
      <c r="T70" s="2" t="n">
        <v>52.41322</v>
      </c>
      <c r="U70" s="2" t="n">
        <v>4.88643</v>
      </c>
      <c r="V70" s="2" t="inlineStr">
        <is>
          <t>Plejadenplein 18, Amsterdam</t>
        </is>
      </c>
      <c r="W70" s="2" t="inlineStr">
        <is>
          <t>Asfalt Schouw NOORD — 26 augustus 2026</t>
        </is>
      </c>
      <c r="X70" s="2" t="inlineStr">
        <is>
          <t>23/49</t>
        </is>
      </c>
      <c r="Y70" s="2" t="inlineStr">
        <is>
          <t>069-orionplantsoen.jpg</t>
        </is>
      </c>
      <c r="Z70" s="9" t="inlineStr">
        <is>
          <t>handgeschreven code "HB" in de kantlijn</t>
        </is>
      </c>
      <c r="AA70" s="9" t="inlineStr"/>
      <c r="AB70" s="2" t="inlineStr">
        <is>
          <t>SOK-AMS-ORIONPLANTSOEN</t>
        </is>
      </c>
      <c r="AC70" s="2" t="inlineStr"/>
      <c r="AD70" s="2" t="n">
        <v>2</v>
      </c>
    </row>
    <row r="71">
      <c r="A71" s="2" t="inlineStr">
        <is>
          <t>SOK-AMS-2026-070</t>
        </is>
      </c>
      <c r="B71" s="2" t="inlineStr">
        <is>
          <t>Hotbox werkzaamheden</t>
        </is>
      </c>
      <c r="C71" s="2" t="inlineStr">
        <is>
          <t>Orionplantsoen</t>
        </is>
      </c>
      <c r="D71" s="2" t="inlineStr"/>
      <c r="E71" s="2" t="inlineStr">
        <is>
          <t>Orionplantsoennr. 10 6.00 x 1.20</t>
        </is>
      </c>
      <c r="F71" s="2" t="inlineStr">
        <is>
          <t>6,00 × 1,20 m  (samen 7,2 m²)</t>
        </is>
      </c>
      <c r="G71" s="2" t="n">
        <v>1</v>
      </c>
      <c r="H71" s="7" t="n">
        <v>6</v>
      </c>
      <c r="I71" s="7" t="n">
        <v>1.2</v>
      </c>
      <c r="J71" s="7" t="n">
        <v>7.2</v>
      </c>
      <c r="K71" s="2">
        <f>INDEX(Tarieven!$A$4:$E$7,MATCH($B71,Tarieven!$A$4:$A$7,0),2)</f>
        <v/>
      </c>
      <c r="L71" s="7">
        <f>IF($K71="plek",$G71,IF($K71="m1",$H71,$J71))</f>
        <v/>
      </c>
      <c r="M71" s="8">
        <f>INDEX(Tarieven!$A$4:$E$7,MATCH($B71,Tarieven!$A$4:$A$7,0),3)</f>
        <v/>
      </c>
      <c r="N71" s="8">
        <f>INDEX(Tarieven!$A$4:$E$7,MATCH($B71,Tarieven!$A$4:$A$7,0),4)</f>
        <v/>
      </c>
      <c r="O71" s="8">
        <f>IFERROR($L71*$M71,0)</f>
        <v/>
      </c>
      <c r="P71" s="8">
        <f>IFERROR($L71*$N71,0)</f>
        <v/>
      </c>
      <c r="Q71" s="2" t="inlineStr">
        <is>
          <t>normaal</t>
        </is>
      </c>
      <c r="R71" s="2" t="inlineStr">
        <is>
          <t>2026-07-21</t>
        </is>
      </c>
      <c r="S71" s="2" t="n">
        <v>30</v>
      </c>
      <c r="T71" s="2" t="n">
        <v>52.41317</v>
      </c>
      <c r="U71" s="2" t="n">
        <v>4.88708</v>
      </c>
      <c r="V71" s="2" t="inlineStr">
        <is>
          <t>Orionplantsoen 8, Amsterdam</t>
        </is>
      </c>
      <c r="W71" s="2" t="inlineStr">
        <is>
          <t>Asfalt Schouw NOORD — 26 augustus 2026</t>
        </is>
      </c>
      <c r="X71" s="2" t="inlineStr">
        <is>
          <t>24/49</t>
        </is>
      </c>
      <c r="Y71" s="2" t="inlineStr">
        <is>
          <t>070-orionplantsoen.jpg</t>
        </is>
      </c>
      <c r="Z71" s="9" t="inlineStr">
        <is>
          <t>handgeschreven code "HB" in de kantlijn</t>
        </is>
      </c>
      <c r="AA71" s="9" t="inlineStr"/>
      <c r="AB71" s="2" t="inlineStr">
        <is>
          <t>SOK-AMS-ORIONPLANTSOEN</t>
        </is>
      </c>
      <c r="AC71" s="2" t="inlineStr"/>
      <c r="AD71" s="2" t="n">
        <v>2</v>
      </c>
    </row>
    <row r="72">
      <c r="A72" s="2" t="inlineStr">
        <is>
          <t>SOK-AMS-2026-071</t>
        </is>
      </c>
      <c r="B72" s="2" t="inlineStr">
        <is>
          <t>Hotbox werkzaamheden</t>
        </is>
      </c>
      <c r="C72" s="2" t="inlineStr">
        <is>
          <t>Orionstraat</t>
        </is>
      </c>
      <c r="D72" s="2" t="inlineStr">
        <is>
          <t>Tuindorp Oostzaan</t>
        </is>
      </c>
      <c r="E72" s="2" t="inlineStr">
        <is>
          <t>Orionstr. Nr. 78 foto 1. 60.00 x 1.00. Nr 84 foto 2. 2.20 x 1.00</t>
        </is>
      </c>
      <c r="F72" s="2" t="inlineStr">
        <is>
          <t>60,00 × 1,00 m + 2,20 × 1,00 m  (samen 62,2 m²)</t>
        </is>
      </c>
      <c r="G72" s="2" t="n">
        <v>2</v>
      </c>
      <c r="H72" s="7" t="n">
        <v>62.2</v>
      </c>
      <c r="I72" s="7" t="n">
        <v>1</v>
      </c>
      <c r="J72" s="7" t="n">
        <v>62.2</v>
      </c>
      <c r="K72" s="2">
        <f>INDEX(Tarieven!$A$4:$E$7,MATCH($B72,Tarieven!$A$4:$A$7,0),2)</f>
        <v/>
      </c>
      <c r="L72" s="7">
        <f>IF($K72="plek",$G72,IF($K72="m1",$H72,$J72))</f>
        <v/>
      </c>
      <c r="M72" s="8">
        <f>INDEX(Tarieven!$A$4:$E$7,MATCH($B72,Tarieven!$A$4:$A$7,0),3)</f>
        <v/>
      </c>
      <c r="N72" s="8">
        <f>INDEX(Tarieven!$A$4:$E$7,MATCH($B72,Tarieven!$A$4:$A$7,0),4)</f>
        <v/>
      </c>
      <c r="O72" s="8">
        <f>IFERROR($L72*$M72,0)</f>
        <v/>
      </c>
      <c r="P72" s="8">
        <f>IFERROR($L72*$N72,0)</f>
        <v/>
      </c>
      <c r="Q72" s="2" t="inlineStr">
        <is>
          <t>normaal</t>
        </is>
      </c>
      <c r="R72" s="2" t="inlineStr">
        <is>
          <t>2026-07-21</t>
        </is>
      </c>
      <c r="S72" s="2" t="n">
        <v>30</v>
      </c>
      <c r="T72" s="2" t="n">
        <v>52.41344</v>
      </c>
      <c r="U72" s="2" t="n">
        <v>4.88793</v>
      </c>
      <c r="V72" s="2" t="inlineStr">
        <is>
          <t>Orionstraat 81, Amsterdam</t>
        </is>
      </c>
      <c r="W72" s="2" t="inlineStr">
        <is>
          <t>Asfalt Schouw NOORD — 26 augustus 2026</t>
        </is>
      </c>
      <c r="X72" s="2" t="inlineStr">
        <is>
          <t>24/49</t>
        </is>
      </c>
      <c r="Y72" s="2" t="inlineStr">
        <is>
          <t>071-orionstraat.jpg</t>
        </is>
      </c>
      <c r="Z72" s="9" t="inlineStr">
        <is>
          <t>handgeschreven code "HB" in de kantlijn</t>
        </is>
      </c>
      <c r="AA72" s="9" t="inlineStr"/>
      <c r="AB72" s="2" t="inlineStr">
        <is>
          <t>SOK-AMS-ORIONSTRAAT</t>
        </is>
      </c>
      <c r="AC72" s="2" t="inlineStr"/>
      <c r="AD72" s="2" t="n">
        <v>2</v>
      </c>
    </row>
    <row r="73">
      <c r="A73" s="2" t="inlineStr">
        <is>
          <t>SOK-AMS-2026-072</t>
        </is>
      </c>
      <c r="B73" s="2" t="inlineStr">
        <is>
          <t>Hotbox werkzaamheden</t>
        </is>
      </c>
      <c r="C73" s="2" t="inlineStr">
        <is>
          <t>Orionplantsoen</t>
        </is>
      </c>
      <c r="D73" s="2" t="inlineStr">
        <is>
          <t>Tuindorp Oostzaan</t>
        </is>
      </c>
      <c r="E73" s="2" t="inlineStr">
        <is>
          <t>Orionplantsoen nr. 30 6.20 x 0.30</t>
        </is>
      </c>
      <c r="F73" s="2" t="inlineStr">
        <is>
          <t>6,20 × 0,30 m  (samen 1,9 m²)</t>
        </is>
      </c>
      <c r="G73" s="2" t="n">
        <v>1</v>
      </c>
      <c r="H73" s="7" t="n">
        <v>6.2</v>
      </c>
      <c r="I73" s="7" t="n">
        <v>0.3</v>
      </c>
      <c r="J73" s="7" t="n">
        <v>1.86</v>
      </c>
      <c r="K73" s="2">
        <f>INDEX(Tarieven!$A$4:$E$7,MATCH($B73,Tarieven!$A$4:$A$7,0),2)</f>
        <v/>
      </c>
      <c r="L73" s="7">
        <f>IF($K73="plek",$G73,IF($K73="m1",$H73,$J73))</f>
        <v/>
      </c>
      <c r="M73" s="8">
        <f>INDEX(Tarieven!$A$4:$E$7,MATCH($B73,Tarieven!$A$4:$A$7,0),3)</f>
        <v/>
      </c>
      <c r="N73" s="8">
        <f>INDEX(Tarieven!$A$4:$E$7,MATCH($B73,Tarieven!$A$4:$A$7,0),4)</f>
        <v/>
      </c>
      <c r="O73" s="8">
        <f>IFERROR($L73*$M73,0)</f>
        <v/>
      </c>
      <c r="P73" s="8">
        <f>IFERROR($L73*$N73,0)</f>
        <v/>
      </c>
      <c r="Q73" s="2" t="inlineStr">
        <is>
          <t>normaal</t>
        </is>
      </c>
      <c r="R73" s="2" t="inlineStr">
        <is>
          <t>2026-07-21</t>
        </is>
      </c>
      <c r="S73" s="2" t="n">
        <v>30</v>
      </c>
      <c r="T73" s="2" t="n">
        <v>52.41382</v>
      </c>
      <c r="U73" s="2" t="n">
        <v>4.88802</v>
      </c>
      <c r="V73" s="2" t="inlineStr">
        <is>
          <t>Orionplantsoen 30, Amsterdam</t>
        </is>
      </c>
      <c r="W73" s="2" t="inlineStr">
        <is>
          <t>Asfalt Schouw NOORD — 26 augustus 2026</t>
        </is>
      </c>
      <c r="X73" s="2" t="inlineStr">
        <is>
          <t>24/49</t>
        </is>
      </c>
      <c r="Y73" s="2" t="inlineStr">
        <is>
          <t>072-orionplantsoen.jpg</t>
        </is>
      </c>
      <c r="Z73" s="9" t="inlineStr">
        <is>
          <t>handgeschreven code "HB" in de kantlijn</t>
        </is>
      </c>
      <c r="AA73" s="9" t="inlineStr"/>
      <c r="AB73" s="2" t="inlineStr">
        <is>
          <t>SOK-AMS-ORIONPLANTSOEN</t>
        </is>
      </c>
      <c r="AC73" s="2" t="inlineStr"/>
      <c r="AD73" s="2" t="n">
        <v>2</v>
      </c>
    </row>
    <row r="74">
      <c r="A74" s="2" t="inlineStr">
        <is>
          <t>SOK-AMS-2026-073</t>
        </is>
      </c>
      <c r="B74" s="2" t="inlineStr">
        <is>
          <t>Hotbox werkzaamheden</t>
        </is>
      </c>
      <c r="C74" s="2" t="inlineStr">
        <is>
          <t>Kometensingel</t>
        </is>
      </c>
      <c r="D74" s="2" t="inlineStr">
        <is>
          <t>Tuindorp Oostzaan</t>
        </is>
      </c>
      <c r="E74" s="2" t="inlineStr">
        <is>
          <t>Kometensingel nr 173. 2.60 x 1.10</t>
        </is>
      </c>
      <c r="F74" s="2" t="inlineStr">
        <is>
          <t>2,60 × 1,10 m  (samen 2,9 m²)</t>
        </is>
      </c>
      <c r="G74" s="2" t="n">
        <v>1</v>
      </c>
      <c r="H74" s="7" t="n">
        <v>2.6</v>
      </c>
      <c r="I74" s="7" t="n">
        <v>1.1</v>
      </c>
      <c r="J74" s="7" t="n">
        <v>2.86</v>
      </c>
      <c r="K74" s="2">
        <f>INDEX(Tarieven!$A$4:$E$7,MATCH($B74,Tarieven!$A$4:$A$7,0),2)</f>
        <v/>
      </c>
      <c r="L74" s="7">
        <f>IF($K74="plek",$G74,IF($K74="m1",$H74,$J74))</f>
        <v/>
      </c>
      <c r="M74" s="8">
        <f>INDEX(Tarieven!$A$4:$E$7,MATCH($B74,Tarieven!$A$4:$A$7,0),3)</f>
        <v/>
      </c>
      <c r="N74" s="8">
        <f>INDEX(Tarieven!$A$4:$E$7,MATCH($B74,Tarieven!$A$4:$A$7,0),4)</f>
        <v/>
      </c>
      <c r="O74" s="8">
        <f>IFERROR($L74*$M74,0)</f>
        <v/>
      </c>
      <c r="P74" s="8">
        <f>IFERROR($L74*$N74,0)</f>
        <v/>
      </c>
      <c r="Q74" s="2" t="inlineStr">
        <is>
          <t>normaal</t>
        </is>
      </c>
      <c r="R74" s="2" t="inlineStr">
        <is>
          <t>2026-07-21</t>
        </is>
      </c>
      <c r="S74" s="2" t="n">
        <v>30</v>
      </c>
      <c r="T74" s="2" t="n">
        <v>52.4146</v>
      </c>
      <c r="U74" s="2" t="n">
        <v>4.88782</v>
      </c>
      <c r="V74" s="2" t="inlineStr">
        <is>
          <t>Maarsenhof 173, Amsterdam</t>
        </is>
      </c>
      <c r="W74" s="2" t="inlineStr">
        <is>
          <t>Asfalt Schouw NOORD — 26 augustus 2026</t>
        </is>
      </c>
      <c r="X74" s="2" t="inlineStr">
        <is>
          <t>25/49</t>
        </is>
      </c>
      <c r="Y74" s="2" t="inlineStr">
        <is>
          <t>073-kometensingel.jpg</t>
        </is>
      </c>
      <c r="Z74" s="9" t="inlineStr">
        <is>
          <t>handgeschreven code "HB" in de kantlijn</t>
        </is>
      </c>
      <c r="AA74" s="9" t="inlineStr"/>
      <c r="AB74" s="2" t="inlineStr">
        <is>
          <t>SOK-AMS-KOMETENSINGEL</t>
        </is>
      </c>
      <c r="AC74" s="2" t="inlineStr"/>
      <c r="AD74" s="2" t="n">
        <v>1</v>
      </c>
    </row>
    <row r="75">
      <c r="A75" s="2" t="inlineStr">
        <is>
          <t>SOK-AMS-2026-074</t>
        </is>
      </c>
      <c r="B75" s="2" t="inlineStr">
        <is>
          <t>Hotbox werkzaamheden</t>
        </is>
      </c>
      <c r="C75" s="2" t="inlineStr">
        <is>
          <t>Argostraat</t>
        </is>
      </c>
      <c r="D75" s="2" t="inlineStr">
        <is>
          <t>Tuindorp Oostzaan</t>
        </is>
      </c>
      <c r="E75" s="2" t="inlineStr">
        <is>
          <t>Argostr nr 38. 2.00 x 1.80</t>
        </is>
      </c>
      <c r="F75" s="2" t="inlineStr">
        <is>
          <t>2,00 × 1,80 m  (samen 3,6 m²)</t>
        </is>
      </c>
      <c r="G75" s="2" t="n">
        <v>1</v>
      </c>
      <c r="H75" s="7" t="n">
        <v>2</v>
      </c>
      <c r="I75" s="7" t="n">
        <v>1.8</v>
      </c>
      <c r="J75" s="7" t="n">
        <v>3.6</v>
      </c>
      <c r="K75" s="2">
        <f>INDEX(Tarieven!$A$4:$E$7,MATCH($B75,Tarieven!$A$4:$A$7,0),2)</f>
        <v/>
      </c>
      <c r="L75" s="7">
        <f>IF($K75="plek",$G75,IF($K75="m1",$H75,$J75))</f>
        <v/>
      </c>
      <c r="M75" s="8">
        <f>INDEX(Tarieven!$A$4:$E$7,MATCH($B75,Tarieven!$A$4:$A$7,0),3)</f>
        <v/>
      </c>
      <c r="N75" s="8">
        <f>INDEX(Tarieven!$A$4:$E$7,MATCH($B75,Tarieven!$A$4:$A$7,0),4)</f>
        <v/>
      </c>
      <c r="O75" s="8">
        <f>IFERROR($L75*$M75,0)</f>
        <v/>
      </c>
      <c r="P75" s="8">
        <f>IFERROR($L75*$N75,0)</f>
        <v/>
      </c>
      <c r="Q75" s="2" t="inlineStr">
        <is>
          <t>normaal</t>
        </is>
      </c>
      <c r="R75" s="2" t="inlineStr">
        <is>
          <t>2026-07-21</t>
        </is>
      </c>
      <c r="S75" s="2" t="n">
        <v>30</v>
      </c>
      <c r="T75" s="2" t="n">
        <v>52.41378</v>
      </c>
      <c r="U75" s="2" t="n">
        <v>4.89</v>
      </c>
      <c r="V75" s="2" t="inlineStr">
        <is>
          <t>Argostraat 39, Amsterdam</t>
        </is>
      </c>
      <c r="W75" s="2" t="inlineStr">
        <is>
          <t>Asfalt Schouw NOORD — 26 augustus 2026</t>
        </is>
      </c>
      <c r="X75" s="2" t="inlineStr">
        <is>
          <t>25/49</t>
        </is>
      </c>
      <c r="Y75" s="2" t="inlineStr">
        <is>
          <t>074-argostraat.jpg</t>
        </is>
      </c>
      <c r="Z75" s="9" t="inlineStr">
        <is>
          <t>handgeschreven code "HB" in de kantlijn</t>
        </is>
      </c>
      <c r="AA75" s="9" t="inlineStr"/>
      <c r="AB75" s="2" t="inlineStr">
        <is>
          <t>SOK-AMS-ARGOSTRAAT</t>
        </is>
      </c>
      <c r="AC75" s="2" t="inlineStr"/>
      <c r="AD75" s="2" t="n">
        <v>1</v>
      </c>
    </row>
    <row r="76">
      <c r="A76" s="2" t="inlineStr">
        <is>
          <t>SOK-AMS-2026-075</t>
        </is>
      </c>
      <c r="B76" s="2" t="inlineStr">
        <is>
          <t>Asfalt – nog in te delen</t>
        </is>
      </c>
      <c r="C76" s="2" t="inlineStr">
        <is>
          <t>Argostraat</t>
        </is>
      </c>
      <c r="D76" s="2" t="inlineStr">
        <is>
          <t>Tuindorp Oostzaan</t>
        </is>
      </c>
      <c r="E76" s="2" t="inlineStr">
        <is>
          <t>Argostr. Nr. 33 1.40 x 0.90</t>
        </is>
      </c>
      <c r="F76" s="2" t="inlineStr">
        <is>
          <t>1,40 × 0,90 m  (samen 1,3 m²)</t>
        </is>
      </c>
      <c r="G76" s="2" t="n">
        <v>1</v>
      </c>
      <c r="H76" s="7" t="n">
        <v>1.4</v>
      </c>
      <c r="I76" s="7" t="n">
        <v>0.9</v>
      </c>
      <c r="J76" s="7" t="n">
        <v>1.26</v>
      </c>
      <c r="K76" s="2">
        <f>INDEX(Tarieven!$A$4:$E$7,MATCH($B76,Tarieven!$A$4:$A$7,0),2)</f>
        <v/>
      </c>
      <c r="L76" s="7">
        <f>IF($K76="plek",$G76,IF($K76="m1",$H76,$J76))</f>
        <v/>
      </c>
      <c r="M76" s="8">
        <f>INDEX(Tarieven!$A$4:$E$7,MATCH($B76,Tarieven!$A$4:$A$7,0),3)</f>
        <v/>
      </c>
      <c r="N76" s="8">
        <f>INDEX(Tarieven!$A$4:$E$7,MATCH($B76,Tarieven!$A$4:$A$7,0),4)</f>
        <v/>
      </c>
      <c r="O76" s="8">
        <f>IFERROR($L76*$M76,0)</f>
        <v/>
      </c>
      <c r="P76" s="8">
        <f>IFERROR($L76*$N76,0)</f>
        <v/>
      </c>
      <c r="Q76" s="2" t="inlineStr">
        <is>
          <t>normaal</t>
        </is>
      </c>
      <c r="R76" s="2" t="inlineStr">
        <is>
          <t>2026-07-21</t>
        </is>
      </c>
      <c r="S76" s="2" t="n">
        <v>30</v>
      </c>
      <c r="T76" s="2" t="n">
        <v>52.41388</v>
      </c>
      <c r="U76" s="2" t="n">
        <v>4.89019</v>
      </c>
      <c r="V76" s="2" t="inlineStr">
        <is>
          <t>Argostraat 34, Amsterdam</t>
        </is>
      </c>
      <c r="W76" s="2" t="inlineStr">
        <is>
          <t>Asfalt Schouw NOORD — 26 augustus 2026</t>
        </is>
      </c>
      <c r="X76" s="2" t="inlineStr">
        <is>
          <t>25/49</t>
        </is>
      </c>
      <c r="Y76" s="2" t="inlineStr">
        <is>
          <t>075-argostraat.jpg</t>
        </is>
      </c>
      <c r="Z76" s="9" t="inlineStr">
        <is>
          <t>geen code in de kantlijn en geen asfaltsoort in de tekst</t>
        </is>
      </c>
      <c r="AA76" s="9" t="inlineStr"/>
      <c r="AB76" s="2" t="inlineStr">
        <is>
          <t>SOK-AMS-ARGOSTRAAT</t>
        </is>
      </c>
      <c r="AC76" s="2" t="inlineStr"/>
      <c r="AD76" s="2" t="n">
        <v>1</v>
      </c>
    </row>
    <row r="77">
      <c r="A77" s="2" t="inlineStr">
        <is>
          <t>SOK-AMS-2026-076</t>
        </is>
      </c>
      <c r="B77" s="2" t="inlineStr">
        <is>
          <t>Asfalt – nog in te delen</t>
        </is>
      </c>
      <c r="C77" s="2" t="inlineStr">
        <is>
          <t>Planetenstraat</t>
        </is>
      </c>
      <c r="D77" s="2" t="inlineStr">
        <is>
          <t>Tuindorp Oostzaan</t>
        </is>
      </c>
      <c r="E77" s="2" t="inlineStr">
        <is>
          <t>Planetenstr. Nr. 2 3.40 x 1.20</t>
        </is>
      </c>
      <c r="F77" s="2" t="inlineStr">
        <is>
          <t>3,40 × 1,20 m  (samen 4,1 m²)</t>
        </is>
      </c>
      <c r="G77" s="2" t="n">
        <v>1</v>
      </c>
      <c r="H77" s="7" t="n">
        <v>3.4</v>
      </c>
      <c r="I77" s="7" t="n">
        <v>1.2</v>
      </c>
      <c r="J77" s="7" t="n">
        <v>4.08</v>
      </c>
      <c r="K77" s="2">
        <f>INDEX(Tarieven!$A$4:$E$7,MATCH($B77,Tarieven!$A$4:$A$7,0),2)</f>
        <v/>
      </c>
      <c r="L77" s="7">
        <f>IF($K77="plek",$G77,IF($K77="m1",$H77,$J77))</f>
        <v/>
      </c>
      <c r="M77" s="8">
        <f>INDEX(Tarieven!$A$4:$E$7,MATCH($B77,Tarieven!$A$4:$A$7,0),3)</f>
        <v/>
      </c>
      <c r="N77" s="8">
        <f>INDEX(Tarieven!$A$4:$E$7,MATCH($B77,Tarieven!$A$4:$A$7,0),4)</f>
        <v/>
      </c>
      <c r="O77" s="8">
        <f>IFERROR($L77*$M77,0)</f>
        <v/>
      </c>
      <c r="P77" s="8">
        <f>IFERROR($L77*$N77,0)</f>
        <v/>
      </c>
      <c r="Q77" s="2" t="inlineStr">
        <is>
          <t>normaal</t>
        </is>
      </c>
      <c r="R77" s="2" t="inlineStr">
        <is>
          <t>2026-07-21</t>
        </is>
      </c>
      <c r="S77" s="2" t="n">
        <v>30</v>
      </c>
      <c r="T77" s="2" t="n">
        <v>52.41369</v>
      </c>
      <c r="U77" s="2" t="n">
        <v>4.89018</v>
      </c>
      <c r="V77" s="2" t="inlineStr">
        <is>
          <t>Argostraat 33, Amsterdam</t>
        </is>
      </c>
      <c r="W77" s="2" t="inlineStr">
        <is>
          <t>Asfalt Schouw NOORD — 26 augustus 2026</t>
        </is>
      </c>
      <c r="X77" s="2" t="inlineStr">
        <is>
          <t>26/49</t>
        </is>
      </c>
      <c r="Y77" s="2" t="inlineStr">
        <is>
          <t>076-planetenstraat.jpg</t>
        </is>
      </c>
      <c r="Z77" s="9" t="inlineStr">
        <is>
          <t>geen code in de kantlijn en geen asfaltsoort in de tekst</t>
        </is>
      </c>
      <c r="AA77" s="9" t="inlineStr"/>
      <c r="AB77" s="2" t="inlineStr">
        <is>
          <t>SOK-AMS-PLANETENSTRAAT</t>
        </is>
      </c>
      <c r="AC77" s="2" t="inlineStr"/>
      <c r="AD77" s="2" t="n">
        <v>1</v>
      </c>
    </row>
    <row r="78">
      <c r="A78" s="2" t="inlineStr">
        <is>
          <t>SOK-AMS-2026-077</t>
        </is>
      </c>
      <c r="B78" s="2" t="inlineStr">
        <is>
          <t>Asfalt machinaal</t>
        </is>
      </c>
      <c r="C78" s="2" t="inlineStr">
        <is>
          <t>Argostraat</t>
        </is>
      </c>
      <c r="D78" s="2" t="inlineStr">
        <is>
          <t>Tuindorp Oostzaan</t>
        </is>
      </c>
      <c r="E78" s="2" t="inlineStr">
        <is>
          <t>Argostr. Nr. 25 14.30 x 1.10</t>
        </is>
      </c>
      <c r="F78" s="2" t="inlineStr">
        <is>
          <t>14,30 × 1,10 m  (samen 15,7 m²)</t>
        </is>
      </c>
      <c r="G78" s="2" t="n">
        <v>1</v>
      </c>
      <c r="H78" s="7" t="n">
        <v>14.3</v>
      </c>
      <c r="I78" s="7" t="n">
        <v>1.1</v>
      </c>
      <c r="J78" s="7" t="n">
        <v>15.73</v>
      </c>
      <c r="K78" s="2">
        <f>INDEX(Tarieven!$A$4:$E$7,MATCH($B78,Tarieven!$A$4:$A$7,0),2)</f>
        <v/>
      </c>
      <c r="L78" s="7">
        <f>IF($K78="plek",$G78,IF($K78="m1",$H78,$J78))</f>
        <v/>
      </c>
      <c r="M78" s="8">
        <f>INDEX(Tarieven!$A$4:$E$7,MATCH($B78,Tarieven!$A$4:$A$7,0),3)</f>
        <v/>
      </c>
      <c r="N78" s="8">
        <f>INDEX(Tarieven!$A$4:$E$7,MATCH($B78,Tarieven!$A$4:$A$7,0),4)</f>
        <v/>
      </c>
      <c r="O78" s="8">
        <f>IFERROR($L78*$M78,0)</f>
        <v/>
      </c>
      <c r="P78" s="8">
        <f>IFERROR($L78*$N78,0)</f>
        <v/>
      </c>
      <c r="Q78" s="2" t="inlineStr">
        <is>
          <t>normaal</t>
        </is>
      </c>
      <c r="R78" s="2" t="inlineStr">
        <is>
          <t>2026-07-21</t>
        </is>
      </c>
      <c r="S78" s="2" t="n">
        <v>30</v>
      </c>
      <c r="T78" s="2" t="n">
        <v>52.4138</v>
      </c>
      <c r="U78" s="2" t="n">
        <v>4.89053</v>
      </c>
      <c r="V78" s="2" t="inlineStr">
        <is>
          <t>Planetenstraat 2, Amsterdam</t>
        </is>
      </c>
      <c r="W78" s="2" t="inlineStr">
        <is>
          <t>Asfalt Schouw NOORD — 26 augustus 2026</t>
        </is>
      </c>
      <c r="X78" s="2" t="inlineStr">
        <is>
          <t>26/49</t>
        </is>
      </c>
      <c r="Y78" s="2" t="inlineStr">
        <is>
          <t>077-argostraat.jpg</t>
        </is>
      </c>
      <c r="Z78" s="9" t="inlineStr">
        <is>
          <t>handgeschreven code "AS" in de kantlijn</t>
        </is>
      </c>
      <c r="AA78" s="9" t="inlineStr"/>
      <c r="AB78" s="2" t="inlineStr">
        <is>
          <t>SOK-AMS-ARGOSTRAAT</t>
        </is>
      </c>
      <c r="AC78" s="2" t="inlineStr"/>
      <c r="AD78" s="2" t="n">
        <v>2</v>
      </c>
    </row>
    <row r="79">
      <c r="A79" s="2" t="inlineStr">
        <is>
          <t>SOK-AMS-2026-078</t>
        </is>
      </c>
      <c r="B79" s="2" t="inlineStr">
        <is>
          <t>Hotbox werkzaamheden</t>
        </is>
      </c>
      <c r="C79" s="2" t="inlineStr">
        <is>
          <t>Aldebaranstraat</t>
        </is>
      </c>
      <c r="D79" s="2" t="inlineStr">
        <is>
          <t>Tuindorp Oostzaan</t>
        </is>
      </c>
      <c r="E79" s="2" t="inlineStr">
        <is>
          <t>T/o Gutserstr. / Kotteraarstr Foto 1 fp. 2.00 x 0.30 foto 2. 9.45 x 0.30</t>
        </is>
      </c>
      <c r="F79" s="2" t="inlineStr">
        <is>
          <t>2,00 × 0,30 m + 9,45 × 0,30 m  (samen 3,4 m²)</t>
        </is>
      </c>
      <c r="G79" s="2" t="n">
        <v>2</v>
      </c>
      <c r="H79" s="7" t="n">
        <v>11.45</v>
      </c>
      <c r="I79" s="7" t="n">
        <v>0.3</v>
      </c>
      <c r="J79" s="7" t="n">
        <v>3.43</v>
      </c>
      <c r="K79" s="2">
        <f>INDEX(Tarieven!$A$4:$E$7,MATCH($B79,Tarieven!$A$4:$A$7,0),2)</f>
        <v/>
      </c>
      <c r="L79" s="7">
        <f>IF($K79="plek",$G79,IF($K79="m1",$H79,$J79))</f>
        <v/>
      </c>
      <c r="M79" s="8">
        <f>INDEX(Tarieven!$A$4:$E$7,MATCH($B79,Tarieven!$A$4:$A$7,0),3)</f>
        <v/>
      </c>
      <c r="N79" s="8">
        <f>INDEX(Tarieven!$A$4:$E$7,MATCH($B79,Tarieven!$A$4:$A$7,0),4)</f>
        <v/>
      </c>
      <c r="O79" s="8">
        <f>IFERROR($L79*$M79,0)</f>
        <v/>
      </c>
      <c r="P79" s="8">
        <f>IFERROR($L79*$N79,0)</f>
        <v/>
      </c>
      <c r="Q79" s="2" t="inlineStr">
        <is>
          <t>normaal</t>
        </is>
      </c>
      <c r="R79" s="2" t="inlineStr">
        <is>
          <t>2026-07-21</t>
        </is>
      </c>
      <c r="S79" s="2" t="n">
        <v>30</v>
      </c>
      <c r="T79" s="2" t="n">
        <v>52.41114</v>
      </c>
      <c r="U79" s="2" t="n">
        <v>4.89099</v>
      </c>
      <c r="V79" s="2" t="inlineStr">
        <is>
          <t>Aldebaranstraat 13, Amsterdam</t>
        </is>
      </c>
      <c r="W79" s="2" t="inlineStr">
        <is>
          <t>Asfalt Schouw NOORD — 26 augustus 2026</t>
        </is>
      </c>
      <c r="X79" s="2" t="inlineStr">
        <is>
          <t>26/49</t>
        </is>
      </c>
      <c r="Y79" s="2" t="inlineStr">
        <is>
          <t>078-aldebaranstraat.jpg</t>
        </is>
      </c>
      <c r="Z79" s="9" t="inlineStr">
        <is>
          <t>handgeschreven code "HB" in de kantlijn</t>
        </is>
      </c>
      <c r="AA79" s="9" t="inlineStr"/>
      <c r="AB79" s="2" t="inlineStr">
        <is>
          <t>SOK-AMS-ALDEBARANSTRAAT</t>
        </is>
      </c>
      <c r="AC79" s="2" t="inlineStr"/>
      <c r="AD79" s="2" t="n">
        <v>2</v>
      </c>
    </row>
    <row r="80">
      <c r="A80" s="2" t="inlineStr">
        <is>
          <t>SOK-AMS-2026-079</t>
        </is>
      </c>
      <c r="B80" s="2" t="inlineStr">
        <is>
          <t>Hotbox werkzaamheden</t>
        </is>
      </c>
      <c r="C80" s="2" t="inlineStr">
        <is>
          <t>Koppelingpad</t>
        </is>
      </c>
      <c r="D80" s="2" t="inlineStr">
        <is>
          <t>Tuindorp Oostzaan</t>
        </is>
      </c>
      <c r="E80" s="2" t="inlineStr">
        <is>
          <t>Koppelingpad nr. 5. 3.20 x 2.00</t>
        </is>
      </c>
      <c r="F80" s="2" t="inlineStr">
        <is>
          <t>3,20 × 2,00 m  (samen 6,4 m²)</t>
        </is>
      </c>
      <c r="G80" s="2" t="n">
        <v>1</v>
      </c>
      <c r="H80" s="7" t="n">
        <v>3.2</v>
      </c>
      <c r="I80" s="7" t="n">
        <v>2</v>
      </c>
      <c r="J80" s="7" t="n">
        <v>6.4</v>
      </c>
      <c r="K80" s="2">
        <f>INDEX(Tarieven!$A$4:$E$7,MATCH($B80,Tarieven!$A$4:$A$7,0),2)</f>
        <v/>
      </c>
      <c r="L80" s="7">
        <f>IF($K80="plek",$G80,IF($K80="m1",$H80,$J80))</f>
        <v/>
      </c>
      <c r="M80" s="8">
        <f>INDEX(Tarieven!$A$4:$E$7,MATCH($B80,Tarieven!$A$4:$A$7,0),3)</f>
        <v/>
      </c>
      <c r="N80" s="8">
        <f>INDEX(Tarieven!$A$4:$E$7,MATCH($B80,Tarieven!$A$4:$A$7,0),4)</f>
        <v/>
      </c>
      <c r="O80" s="8">
        <f>IFERROR($L80*$M80,0)</f>
        <v/>
      </c>
      <c r="P80" s="8">
        <f>IFERROR($L80*$N80,0)</f>
        <v/>
      </c>
      <c r="Q80" s="2" t="inlineStr">
        <is>
          <t>normaal</t>
        </is>
      </c>
      <c r="R80" s="2" t="inlineStr">
        <is>
          <t>2026-07-21</t>
        </is>
      </c>
      <c r="S80" s="2" t="n">
        <v>30</v>
      </c>
      <c r="T80" s="2" t="n">
        <v>52.39566</v>
      </c>
      <c r="U80" s="2" t="n">
        <v>4.90735</v>
      </c>
      <c r="V80" s="2" t="inlineStr">
        <is>
          <t>Papaverweg 33, Amsterdam</t>
        </is>
      </c>
      <c r="W80" s="2" t="inlineStr">
        <is>
          <t>Asfalt Schouw NOORD — 26 augustus 2026</t>
        </is>
      </c>
      <c r="X80" s="2" t="inlineStr">
        <is>
          <t>27/49</t>
        </is>
      </c>
      <c r="Y80" s="2" t="inlineStr">
        <is>
          <t>079-koppelingpad.jpg</t>
        </is>
      </c>
      <c r="Z80" s="9" t="inlineStr">
        <is>
          <t>handgeschreven code "HB" in de kantlijn</t>
        </is>
      </c>
      <c r="AA80" s="9" t="inlineStr"/>
      <c r="AB80" s="2" t="inlineStr">
        <is>
          <t>SOK-AMS-KOPPELINGPAD</t>
        </is>
      </c>
      <c r="AC80" s="2" t="inlineStr"/>
      <c r="AD80" s="2" t="n">
        <v>2</v>
      </c>
    </row>
    <row r="81">
      <c r="A81" s="2" t="inlineStr">
        <is>
          <t>SOK-AMS-2026-080</t>
        </is>
      </c>
      <c r="B81" s="2" t="inlineStr">
        <is>
          <t>Hotbox werkzaamheden</t>
        </is>
      </c>
      <c r="C81" s="2" t="inlineStr">
        <is>
          <t>Koppelingpad</t>
        </is>
      </c>
      <c r="D81" s="2" t="inlineStr">
        <is>
          <t>Tuindorp Oostzaan</t>
        </is>
      </c>
      <c r="E81" s="2" t="inlineStr">
        <is>
          <t>Koppelingpad nr. 8 0.90 x 1.80 + 2.20 x 1.90</t>
        </is>
      </c>
      <c r="F81" s="2" t="inlineStr">
        <is>
          <t>1,80 × 0,90 m + 2,20 × 1,90 m  (samen 5,8 m²)</t>
        </is>
      </c>
      <c r="G81" s="2" t="n">
        <v>2</v>
      </c>
      <c r="H81" s="7" t="n">
        <v>4</v>
      </c>
      <c r="I81" s="7" t="n">
        <v>0.9</v>
      </c>
      <c r="J81" s="7" t="n">
        <v>5.8</v>
      </c>
      <c r="K81" s="2">
        <f>INDEX(Tarieven!$A$4:$E$7,MATCH($B81,Tarieven!$A$4:$A$7,0),2)</f>
        <v/>
      </c>
      <c r="L81" s="7">
        <f>IF($K81="plek",$G81,IF($K81="m1",$H81,$J81))</f>
        <v/>
      </c>
      <c r="M81" s="8">
        <f>INDEX(Tarieven!$A$4:$E$7,MATCH($B81,Tarieven!$A$4:$A$7,0),3)</f>
        <v/>
      </c>
      <c r="N81" s="8">
        <f>INDEX(Tarieven!$A$4:$E$7,MATCH($B81,Tarieven!$A$4:$A$7,0),4)</f>
        <v/>
      </c>
      <c r="O81" s="8">
        <f>IFERROR($L81*$M81,0)</f>
        <v/>
      </c>
      <c r="P81" s="8">
        <f>IFERROR($L81*$N81,0)</f>
        <v/>
      </c>
      <c r="Q81" s="2" t="inlineStr">
        <is>
          <t>normaal</t>
        </is>
      </c>
      <c r="R81" s="2" t="inlineStr">
        <is>
          <t>2026-07-21</t>
        </is>
      </c>
      <c r="S81" s="2" t="n">
        <v>30</v>
      </c>
      <c r="T81" s="2" t="n">
        <v>52.40283</v>
      </c>
      <c r="U81" s="2" t="n">
        <v>4.90063</v>
      </c>
      <c r="V81" s="2" t="inlineStr">
        <is>
          <t>Koppelingpad 6, Amsterdam</t>
        </is>
      </c>
      <c r="W81" s="2" t="inlineStr">
        <is>
          <t>Asfalt Schouw NOORD — 26 augustus 2026</t>
        </is>
      </c>
      <c r="X81" s="2" t="inlineStr">
        <is>
          <t>27/49</t>
        </is>
      </c>
      <c r="Y81" s="2" t="inlineStr">
        <is>
          <t>080-koppelingpad.jpg</t>
        </is>
      </c>
      <c r="Z81" s="9" t="inlineStr">
        <is>
          <t>handgeschreven code "HB" in de kantlijn</t>
        </is>
      </c>
      <c r="AA81" s="9" t="inlineStr"/>
      <c r="AB81" s="2" t="inlineStr">
        <is>
          <t>SOK-AMS-KOPPELINGPAD</t>
        </is>
      </c>
      <c r="AC81" s="2" t="inlineStr"/>
      <c r="AD81" s="2" t="n">
        <v>2</v>
      </c>
    </row>
    <row r="82">
      <c r="A82" s="2" t="inlineStr">
        <is>
          <t>SOK-AMS-2026-081</t>
        </is>
      </c>
      <c r="B82" s="2" t="inlineStr">
        <is>
          <t>Hotbox werkzaamheden</t>
        </is>
      </c>
      <c r="C82" s="2" t="inlineStr">
        <is>
          <t>Koppelingpad</t>
        </is>
      </c>
      <c r="D82" s="2" t="inlineStr">
        <is>
          <t>Tuindorp Oostzaan</t>
        </is>
      </c>
      <c r="E82" s="2" t="inlineStr">
        <is>
          <t>Koppelingpad nr. 11 9.00 x 0.30 + 2.20 x 1.60</t>
        </is>
      </c>
      <c r="F82" s="2" t="inlineStr">
        <is>
          <t>9,00 × 0,30 m + 2,20 × 1,60 m  (samen 6,2 m²)</t>
        </is>
      </c>
      <c r="G82" s="2" t="n">
        <v>2</v>
      </c>
      <c r="H82" s="7" t="n">
        <v>11.2</v>
      </c>
      <c r="I82" s="7" t="n">
        <v>0.3</v>
      </c>
      <c r="J82" s="7" t="n">
        <v>6.22</v>
      </c>
      <c r="K82" s="2">
        <f>INDEX(Tarieven!$A$4:$E$7,MATCH($B82,Tarieven!$A$4:$A$7,0),2)</f>
        <v/>
      </c>
      <c r="L82" s="7">
        <f>IF($K82="plek",$G82,IF($K82="m1",$H82,$J82))</f>
        <v/>
      </c>
      <c r="M82" s="8">
        <f>INDEX(Tarieven!$A$4:$E$7,MATCH($B82,Tarieven!$A$4:$A$7,0),3)</f>
        <v/>
      </c>
      <c r="N82" s="8">
        <f>INDEX(Tarieven!$A$4:$E$7,MATCH($B82,Tarieven!$A$4:$A$7,0),4)</f>
        <v/>
      </c>
      <c r="O82" s="8">
        <f>IFERROR($L82*$M82,0)</f>
        <v/>
      </c>
      <c r="P82" s="8">
        <f>IFERROR($L82*$N82,0)</f>
        <v/>
      </c>
      <c r="Q82" s="2" t="inlineStr">
        <is>
          <t>normaal</t>
        </is>
      </c>
      <c r="R82" s="2" t="inlineStr">
        <is>
          <t>2026-07-21</t>
        </is>
      </c>
      <c r="S82" s="2" t="n">
        <v>30</v>
      </c>
      <c r="T82" s="2" t="n">
        <v>52.40319</v>
      </c>
      <c r="U82" s="2" t="n">
        <v>4.90095</v>
      </c>
      <c r="V82" s="2" t="inlineStr">
        <is>
          <t>Koppelingpad 8, Amsterdam</t>
        </is>
      </c>
      <c r="W82" s="2" t="inlineStr">
        <is>
          <t>Asfalt Schouw NOORD — 26 augustus 2026</t>
        </is>
      </c>
      <c r="X82" s="2" t="inlineStr">
        <is>
          <t>27/49</t>
        </is>
      </c>
      <c r="Y82" s="2" t="inlineStr">
        <is>
          <t>081-koppelingpad.jpg</t>
        </is>
      </c>
      <c r="Z82" s="9" t="inlineStr">
        <is>
          <t>handgeschreven code "HB" in de kantlijn</t>
        </is>
      </c>
      <c r="AA82" s="9" t="inlineStr"/>
      <c r="AB82" s="2" t="inlineStr">
        <is>
          <t>SOK-AMS-KOPPELINGPAD</t>
        </is>
      </c>
      <c r="AC82" s="2" t="inlineStr"/>
      <c r="AD82" s="2" t="n">
        <v>2</v>
      </c>
    </row>
    <row r="83">
      <c r="A83" s="2" t="inlineStr">
        <is>
          <t>SOK-AMS-2026-082</t>
        </is>
      </c>
      <c r="B83" s="2" t="inlineStr">
        <is>
          <t>Hotbox werkzaamheden</t>
        </is>
      </c>
      <c r="C83" s="2" t="inlineStr">
        <is>
          <t>Scheepsbouwweg</t>
        </is>
      </c>
      <c r="D83" s="2" t="inlineStr">
        <is>
          <t>Tuindorp Oostzaan</t>
        </is>
      </c>
      <c r="E83" s="2" t="inlineStr">
        <is>
          <t>Scheepsbouwerweg nr. 2. foto 1 Fp. 1.70 x 0.30. Foto 2. 6.80 x 0.30</t>
        </is>
      </c>
      <c r="F83" s="2" t="inlineStr">
        <is>
          <t>1,70 × 0,30 m + 6,80 × 0,30 m  (samen 2,5 m²)</t>
        </is>
      </c>
      <c r="G83" s="2" t="n">
        <v>2</v>
      </c>
      <c r="H83" s="7" t="n">
        <v>8.5</v>
      </c>
      <c r="I83" s="7" t="n">
        <v>0.3</v>
      </c>
      <c r="J83" s="7" t="n">
        <v>2.55</v>
      </c>
      <c r="K83" s="2">
        <f>INDEX(Tarieven!$A$4:$E$7,MATCH($B83,Tarieven!$A$4:$A$7,0),2)</f>
        <v/>
      </c>
      <c r="L83" s="7">
        <f>IF($K83="plek",$G83,IF($K83="m1",$H83,$J83))</f>
        <v/>
      </c>
      <c r="M83" s="8">
        <f>INDEX(Tarieven!$A$4:$E$7,MATCH($B83,Tarieven!$A$4:$A$7,0),3)</f>
        <v/>
      </c>
      <c r="N83" s="8">
        <f>INDEX(Tarieven!$A$4:$E$7,MATCH($B83,Tarieven!$A$4:$A$7,0),4)</f>
        <v/>
      </c>
      <c r="O83" s="8">
        <f>IFERROR($L83*$M83,0)</f>
        <v/>
      </c>
      <c r="P83" s="8">
        <f>IFERROR($L83*$N83,0)</f>
        <v/>
      </c>
      <c r="Q83" s="2" t="inlineStr">
        <is>
          <t>normaal</t>
        </is>
      </c>
      <c r="R83" s="2" t="inlineStr">
        <is>
          <t>2026-07-21</t>
        </is>
      </c>
      <c r="S83" s="2" t="n">
        <v>30</v>
      </c>
      <c r="T83" s="2" t="n">
        <v>52.40388</v>
      </c>
      <c r="U83" s="2" t="n">
        <v>4.89801</v>
      </c>
      <c r="V83" s="2" t="inlineStr">
        <is>
          <t>Scheepsbouwweg 2, Amsterdam</t>
        </is>
      </c>
      <c r="W83" s="2" t="inlineStr">
        <is>
          <t>Asfalt Schouw NOORD — 26 augustus 2026</t>
        </is>
      </c>
      <c r="X83" s="2" t="inlineStr">
        <is>
          <t>28/49</t>
        </is>
      </c>
      <c r="Y83" s="2" t="inlineStr">
        <is>
          <t>082-scheepsbouwweg.jpg</t>
        </is>
      </c>
      <c r="Z83" s="9" t="inlineStr">
        <is>
          <t>handgeschreven code "HB" in de kantlijn</t>
        </is>
      </c>
      <c r="AA83" s="9" t="inlineStr"/>
      <c r="AB83" s="2" t="inlineStr">
        <is>
          <t>SOK-AMS-SCHEEPSBOUWWEG</t>
        </is>
      </c>
      <c r="AC83" s="2" t="inlineStr"/>
      <c r="AD83" s="2" t="n">
        <v>2</v>
      </c>
    </row>
    <row r="84">
      <c r="A84" s="2" t="inlineStr">
        <is>
          <t>SOK-AMS-2026-083</t>
        </is>
      </c>
      <c r="B84" s="2" t="inlineStr">
        <is>
          <t>Hotbox werkzaamheden</t>
        </is>
      </c>
      <c r="C84" s="2" t="inlineStr">
        <is>
          <t>Scheepsbouwweg</t>
        </is>
      </c>
      <c r="D84" s="2" t="inlineStr">
        <is>
          <t>Tuindorp Oostzaan</t>
        </is>
      </c>
      <c r="E84" s="2" t="inlineStr">
        <is>
          <t>Scheepsbouwweg. t.h.v. Vlakkerweg, foto 1 Fp. 1.60 x 0.30. foto 2, 6.90 x 0.30. Foto 3, Fp. 2.40 x 0.30</t>
        </is>
      </c>
      <c r="F84" s="2" t="inlineStr">
        <is>
          <t>1,60 × 0,30 m + 6,90 × 0,30 m + 2,40 × 0,30 m  (samen 3,3 m²)</t>
        </is>
      </c>
      <c r="G84" s="2" t="n">
        <v>3</v>
      </c>
      <c r="H84" s="7" t="n">
        <v>10.9</v>
      </c>
      <c r="I84" s="7" t="n">
        <v>0.3</v>
      </c>
      <c r="J84" s="7" t="n">
        <v>3.27</v>
      </c>
      <c r="K84" s="2">
        <f>INDEX(Tarieven!$A$4:$E$7,MATCH($B84,Tarieven!$A$4:$A$7,0),2)</f>
        <v/>
      </c>
      <c r="L84" s="7">
        <f>IF($K84="plek",$G84,IF($K84="m1",$H84,$J84))</f>
        <v/>
      </c>
      <c r="M84" s="8">
        <f>INDEX(Tarieven!$A$4:$E$7,MATCH($B84,Tarieven!$A$4:$A$7,0),3)</f>
        <v/>
      </c>
      <c r="N84" s="8">
        <f>INDEX(Tarieven!$A$4:$E$7,MATCH($B84,Tarieven!$A$4:$A$7,0),4)</f>
        <v/>
      </c>
      <c r="O84" s="8">
        <f>IFERROR($L84*$M84,0)</f>
        <v/>
      </c>
      <c r="P84" s="8">
        <f>IFERROR($L84*$N84,0)</f>
        <v/>
      </c>
      <c r="Q84" s="2" t="inlineStr">
        <is>
          <t>normaal</t>
        </is>
      </c>
      <c r="R84" s="2" t="inlineStr">
        <is>
          <t>2026-07-21</t>
        </is>
      </c>
      <c r="S84" s="2" t="n">
        <v>30</v>
      </c>
      <c r="T84" s="2" t="n">
        <v>52.4049</v>
      </c>
      <c r="U84" s="2" t="n">
        <v>4.89916</v>
      </c>
      <c r="V84" s="2" t="inlineStr">
        <is>
          <t>Vlakkerweg 127, Amsterdam</t>
        </is>
      </c>
      <c r="W84" s="2" t="inlineStr">
        <is>
          <t>Asfalt Schouw NOORD — 26 augustus 2026</t>
        </is>
      </c>
      <c r="X84" s="2" t="inlineStr">
        <is>
          <t>28/49</t>
        </is>
      </c>
      <c r="Y84" s="2" t="inlineStr">
        <is>
          <t>083-scheepsbouwweg.jpg</t>
        </is>
      </c>
      <c r="Z84" s="9" t="inlineStr">
        <is>
          <t>handgeschreven code "HB" in de kantlijn</t>
        </is>
      </c>
      <c r="AA84" s="9" t="inlineStr"/>
      <c r="AB84" s="2" t="inlineStr">
        <is>
          <t>SOK-AMS-SCHEEPSBOUWWEG</t>
        </is>
      </c>
      <c r="AC84" s="2" t="inlineStr"/>
      <c r="AD84" s="2" t="n">
        <v>3</v>
      </c>
    </row>
    <row r="85">
      <c r="A85" s="2" t="inlineStr">
        <is>
          <t>SOK-AMS-2026-084</t>
        </is>
      </c>
      <c r="B85" s="2" t="inlineStr">
        <is>
          <t>Hotbox werkzaamheden</t>
        </is>
      </c>
      <c r="C85" s="2" t="inlineStr">
        <is>
          <t>Pomonastraat</t>
        </is>
      </c>
      <c r="D85" s="2" t="inlineStr">
        <is>
          <t>Tuindorp Oostzaan</t>
        </is>
      </c>
      <c r="E85" s="2" t="inlineStr">
        <is>
          <t>Pomoastr. Nr. 21 5.80 x 0.50</t>
        </is>
      </c>
      <c r="F85" s="2" t="inlineStr">
        <is>
          <t>5,80 × 0,50 m  (samen 2,9 m²)</t>
        </is>
      </c>
      <c r="G85" s="2" t="n">
        <v>1</v>
      </c>
      <c r="H85" s="7" t="n">
        <v>5.8</v>
      </c>
      <c r="I85" s="7" t="n">
        <v>0.5</v>
      </c>
      <c r="J85" s="7" t="n">
        <v>2.9</v>
      </c>
      <c r="K85" s="2">
        <f>INDEX(Tarieven!$A$4:$E$7,MATCH($B85,Tarieven!$A$4:$A$7,0),2)</f>
        <v/>
      </c>
      <c r="L85" s="7">
        <f>IF($K85="plek",$G85,IF($K85="m1",$H85,$J85))</f>
        <v/>
      </c>
      <c r="M85" s="8">
        <f>INDEX(Tarieven!$A$4:$E$7,MATCH($B85,Tarieven!$A$4:$A$7,0),3)</f>
        <v/>
      </c>
      <c r="N85" s="8">
        <f>INDEX(Tarieven!$A$4:$E$7,MATCH($B85,Tarieven!$A$4:$A$7,0),4)</f>
        <v/>
      </c>
      <c r="O85" s="8">
        <f>IFERROR($L85*$M85,0)</f>
        <v/>
      </c>
      <c r="P85" s="8">
        <f>IFERROR($L85*$N85,0)</f>
        <v/>
      </c>
      <c r="Q85" s="2" t="inlineStr">
        <is>
          <t>normaal</t>
        </is>
      </c>
      <c r="R85" s="2" t="inlineStr">
        <is>
          <t>2026-07-21</t>
        </is>
      </c>
      <c r="S85" s="2" t="n">
        <v>30</v>
      </c>
      <c r="T85" s="2" t="n">
        <v>52.40985</v>
      </c>
      <c r="U85" s="2" t="n">
        <v>4.89495</v>
      </c>
      <c r="V85" s="2" t="inlineStr">
        <is>
          <t>Pomonastraat 23, Amsterdam</t>
        </is>
      </c>
      <c r="W85" s="2" t="inlineStr">
        <is>
          <t>Asfalt Schouw NOORD — 26 augustus 2026</t>
        </is>
      </c>
      <c r="X85" s="2" t="inlineStr">
        <is>
          <t>28/49</t>
        </is>
      </c>
      <c r="Y85" s="2" t="inlineStr">
        <is>
          <t>084-pomonastraat.jpg</t>
        </is>
      </c>
      <c r="Z85" s="9" t="inlineStr">
        <is>
          <t>handgeschreven code "HB" in de kantlijn</t>
        </is>
      </c>
      <c r="AA85" s="9" t="inlineStr"/>
      <c r="AB85" s="2" t="inlineStr">
        <is>
          <t>SOK-AMS-POMONASTRAAT</t>
        </is>
      </c>
      <c r="AC85" s="2" t="inlineStr"/>
      <c r="AD85" s="2" t="n">
        <v>1</v>
      </c>
    </row>
    <row r="86">
      <c r="A86" s="2" t="inlineStr">
        <is>
          <t>SOK-AMS-2026-085</t>
        </is>
      </c>
      <c r="B86" s="2" t="inlineStr">
        <is>
          <t>Asfalt – nog in te delen</t>
        </is>
      </c>
      <c r="C86" s="2" t="inlineStr">
        <is>
          <t>Pomonastraat</t>
        </is>
      </c>
      <c r="D86" s="2" t="inlineStr">
        <is>
          <t>Tuindorp Oostzaan</t>
        </is>
      </c>
      <c r="E86" s="2" t="inlineStr">
        <is>
          <t>Pomonastr. Nr. 22 .5.80 x 0.50</t>
        </is>
      </c>
      <c r="F86" s="2" t="inlineStr">
        <is>
          <t>5,80 × 0,50 m  (samen 2,9 m²)</t>
        </is>
      </c>
      <c r="G86" s="2" t="n">
        <v>1</v>
      </c>
      <c r="H86" s="7" t="n">
        <v>5.8</v>
      </c>
      <c r="I86" s="7" t="n">
        <v>0.5</v>
      </c>
      <c r="J86" s="7" t="n">
        <v>2.9</v>
      </c>
      <c r="K86" s="2">
        <f>INDEX(Tarieven!$A$4:$E$7,MATCH($B86,Tarieven!$A$4:$A$7,0),2)</f>
        <v/>
      </c>
      <c r="L86" s="7">
        <f>IF($K86="plek",$G86,IF($K86="m1",$H86,$J86))</f>
        <v/>
      </c>
      <c r="M86" s="8">
        <f>INDEX(Tarieven!$A$4:$E$7,MATCH($B86,Tarieven!$A$4:$A$7,0),3)</f>
        <v/>
      </c>
      <c r="N86" s="8">
        <f>INDEX(Tarieven!$A$4:$E$7,MATCH($B86,Tarieven!$A$4:$A$7,0),4)</f>
        <v/>
      </c>
      <c r="O86" s="8">
        <f>IFERROR($L86*$M86,0)</f>
        <v/>
      </c>
      <c r="P86" s="8">
        <f>IFERROR($L86*$N86,0)</f>
        <v/>
      </c>
      <c r="Q86" s="2" t="inlineStr">
        <is>
          <t>normaal</t>
        </is>
      </c>
      <c r="R86" s="2" t="inlineStr">
        <is>
          <t>2026-07-21</t>
        </is>
      </c>
      <c r="S86" s="2" t="n">
        <v>30</v>
      </c>
      <c r="T86" s="2" t="n">
        <v>52.41069</v>
      </c>
      <c r="U86" s="2" t="n">
        <v>4.89611</v>
      </c>
      <c r="V86" s="2" t="inlineStr">
        <is>
          <t>Amsterdam</t>
        </is>
      </c>
      <c r="W86" s="2" t="inlineStr">
        <is>
          <t>Asfalt Schouw NOORD — 26 augustus 2026</t>
        </is>
      </c>
      <c r="X86" s="2" t="inlineStr">
        <is>
          <t>29/49</t>
        </is>
      </c>
      <c r="Y86" s="2" t="inlineStr">
        <is>
          <t>085-pomonastraat.jpg</t>
        </is>
      </c>
      <c r="Z86" s="9" t="inlineStr">
        <is>
          <t>geen code in de kantlijn en geen asfaltsoort in de tekst</t>
        </is>
      </c>
      <c r="AA86" s="9" t="inlineStr"/>
      <c r="AB86" s="2" t="inlineStr">
        <is>
          <t>SOK-AMS-POMONASTRAAT</t>
        </is>
      </c>
      <c r="AC86" s="2" t="inlineStr"/>
      <c r="AD86" s="2" t="n">
        <v>1</v>
      </c>
    </row>
    <row r="87">
      <c r="A87" s="2" t="inlineStr">
        <is>
          <t>SOK-AMS-2026-086</t>
        </is>
      </c>
      <c r="B87" s="2" t="inlineStr">
        <is>
          <t>Asfalt – nog in te delen</t>
        </is>
      </c>
      <c r="C87" s="2" t="inlineStr">
        <is>
          <t>Pomonastraat</t>
        </is>
      </c>
      <c r="D87" s="2" t="inlineStr">
        <is>
          <t>Tuindorp Oostzaan</t>
        </is>
      </c>
      <c r="E87" s="2" t="inlineStr">
        <is>
          <t>Pomonastr t.h.v. Druivenstr. 5.80 x 1.00</t>
        </is>
      </c>
      <c r="F87" s="2" t="inlineStr">
        <is>
          <t>5,80 × 1,00 m  (samen 5,8 m²)</t>
        </is>
      </c>
      <c r="G87" s="2" t="n">
        <v>1</v>
      </c>
      <c r="H87" s="7" t="n">
        <v>5.8</v>
      </c>
      <c r="I87" s="7" t="n">
        <v>1</v>
      </c>
      <c r="J87" s="7" t="n">
        <v>5.8</v>
      </c>
      <c r="K87" s="2">
        <f>INDEX(Tarieven!$A$4:$E$7,MATCH($B87,Tarieven!$A$4:$A$7,0),2)</f>
        <v/>
      </c>
      <c r="L87" s="7">
        <f>IF($K87="plek",$G87,IF($K87="m1",$H87,$J87))</f>
        <v/>
      </c>
      <c r="M87" s="8">
        <f>INDEX(Tarieven!$A$4:$E$7,MATCH($B87,Tarieven!$A$4:$A$7,0),3)</f>
        <v/>
      </c>
      <c r="N87" s="8">
        <f>INDEX(Tarieven!$A$4:$E$7,MATCH($B87,Tarieven!$A$4:$A$7,0),4)</f>
        <v/>
      </c>
      <c r="O87" s="8">
        <f>IFERROR($L87*$M87,0)</f>
        <v/>
      </c>
      <c r="P87" s="8">
        <f>IFERROR($L87*$N87,0)</f>
        <v/>
      </c>
      <c r="Q87" s="2" t="inlineStr">
        <is>
          <t>normaal</t>
        </is>
      </c>
      <c r="R87" s="2" t="inlineStr">
        <is>
          <t>2026-07-21</t>
        </is>
      </c>
      <c r="S87" s="2" t="n">
        <v>30</v>
      </c>
      <c r="T87" s="2" t="n">
        <v>52.41254</v>
      </c>
      <c r="U87" s="2" t="n">
        <v>4.8984</v>
      </c>
      <c r="V87" s="2" t="inlineStr">
        <is>
          <t>Amsterdam</t>
        </is>
      </c>
      <c r="W87" s="2" t="inlineStr">
        <is>
          <t>Asfalt Schouw NOORD — 26 augustus 2026</t>
        </is>
      </c>
      <c r="X87" s="2" t="inlineStr">
        <is>
          <t>29/49</t>
        </is>
      </c>
      <c r="Y87" s="2" t="inlineStr">
        <is>
          <t>086-pomonastraat.jpg</t>
        </is>
      </c>
      <c r="Z87" s="9" t="inlineStr">
        <is>
          <t>geen code in de kantlijn en geen asfaltsoort in de tekst</t>
        </is>
      </c>
      <c r="AA87" s="9" t="inlineStr"/>
      <c r="AB87" s="2" t="inlineStr">
        <is>
          <t>SOK-AMS-POMONASTRAAT</t>
        </is>
      </c>
      <c r="AC87" s="2" t="inlineStr"/>
      <c r="AD87" s="2" t="n">
        <v>1</v>
      </c>
    </row>
    <row r="88">
      <c r="A88" s="2" t="inlineStr">
        <is>
          <t>SOK-AMS-2026-087</t>
        </is>
      </c>
      <c r="B88" s="2" t="inlineStr">
        <is>
          <t>Hotbox werkzaamheden</t>
        </is>
      </c>
      <c r="C88" s="2" t="inlineStr">
        <is>
          <t>Pomonastraat</t>
        </is>
      </c>
      <c r="D88" s="2" t="inlineStr">
        <is>
          <t>Tuindorp Oostzaan</t>
        </is>
      </c>
      <c r="E88" s="2" t="inlineStr">
        <is>
          <t>Pomonastr t.h.v. Appelweg 5.80 x 0.30</t>
        </is>
      </c>
      <c r="F88" s="2" t="inlineStr">
        <is>
          <t>5,80 × 0,30 m  (samen 1,7 m²)</t>
        </is>
      </c>
      <c r="G88" s="2" t="n">
        <v>1</v>
      </c>
      <c r="H88" s="7" t="n">
        <v>5.8</v>
      </c>
      <c r="I88" s="7" t="n">
        <v>0.3</v>
      </c>
      <c r="J88" s="7" t="n">
        <v>1.74</v>
      </c>
      <c r="K88" s="2">
        <f>INDEX(Tarieven!$A$4:$E$7,MATCH($B88,Tarieven!$A$4:$A$7,0),2)</f>
        <v/>
      </c>
      <c r="L88" s="7">
        <f>IF($K88="plek",$G88,IF($K88="m1",$H88,$J88))</f>
        <v/>
      </c>
      <c r="M88" s="8">
        <f>INDEX(Tarieven!$A$4:$E$7,MATCH($B88,Tarieven!$A$4:$A$7,0),3)</f>
        <v/>
      </c>
      <c r="N88" s="8">
        <f>INDEX(Tarieven!$A$4:$E$7,MATCH($B88,Tarieven!$A$4:$A$7,0),4)</f>
        <v/>
      </c>
      <c r="O88" s="8">
        <f>IFERROR($L88*$M88,0)</f>
        <v/>
      </c>
      <c r="P88" s="8">
        <f>IFERROR($L88*$N88,0)</f>
        <v/>
      </c>
      <c r="Q88" s="2" t="inlineStr">
        <is>
          <t>normaal</t>
        </is>
      </c>
      <c r="R88" s="2" t="inlineStr">
        <is>
          <t>2026-07-21</t>
        </is>
      </c>
      <c r="S88" s="2" t="n">
        <v>30</v>
      </c>
      <c r="T88" s="2" t="n">
        <v>52.41278</v>
      </c>
      <c r="U88" s="2" t="n">
        <v>4.89898</v>
      </c>
      <c r="V88" s="2" t="inlineStr">
        <is>
          <t>Pomonastraat 86HS, Amsterdam</t>
        </is>
      </c>
      <c r="W88" s="2" t="inlineStr">
        <is>
          <t>Asfalt Schouw NOORD — 26 augustus 2026</t>
        </is>
      </c>
      <c r="X88" s="2" t="inlineStr">
        <is>
          <t>29/49</t>
        </is>
      </c>
      <c r="Y88" s="2" t="inlineStr">
        <is>
          <t>087-pomonastraat.jpg</t>
        </is>
      </c>
      <c r="Z88" s="9" t="inlineStr">
        <is>
          <t>handgeschreven code "HB" in de kantlijn</t>
        </is>
      </c>
      <c r="AA88" s="9" t="inlineStr"/>
      <c r="AB88" s="2" t="inlineStr">
        <is>
          <t>SOK-AMS-POMONASTRAAT</t>
        </is>
      </c>
      <c r="AC88" s="2" t="inlineStr"/>
      <c r="AD88" s="2" t="n">
        <v>1</v>
      </c>
    </row>
    <row r="89">
      <c r="A89" s="2" t="inlineStr">
        <is>
          <t>SOK-AMS-2026-088</t>
        </is>
      </c>
      <c r="B89" s="2" t="inlineStr">
        <is>
          <t>Hotbox werkzaamheden</t>
        </is>
      </c>
      <c r="C89" s="2" t="inlineStr">
        <is>
          <t>Appelweg</t>
        </is>
      </c>
      <c r="D89" s="2" t="inlineStr">
        <is>
          <t>Tuindorp Oostzaan</t>
        </is>
      </c>
      <c r="E89" s="2" t="inlineStr">
        <is>
          <t>Appelweg / Perenpad 6.00 x 0.30</t>
        </is>
      </c>
      <c r="F89" s="2" t="inlineStr">
        <is>
          <t>6,00 × 0,30 m  (samen 1,8 m²)</t>
        </is>
      </c>
      <c r="G89" s="2" t="n">
        <v>1</v>
      </c>
      <c r="H89" s="7" t="n">
        <v>6</v>
      </c>
      <c r="I89" s="7" t="n">
        <v>0.3</v>
      </c>
      <c r="J89" s="7" t="n">
        <v>1.8</v>
      </c>
      <c r="K89" s="2">
        <f>INDEX(Tarieven!$A$4:$E$7,MATCH($B89,Tarieven!$A$4:$A$7,0),2)</f>
        <v/>
      </c>
      <c r="L89" s="7">
        <f>IF($K89="plek",$G89,IF($K89="m1",$H89,$J89))</f>
        <v/>
      </c>
      <c r="M89" s="8">
        <f>INDEX(Tarieven!$A$4:$E$7,MATCH($B89,Tarieven!$A$4:$A$7,0),3)</f>
        <v/>
      </c>
      <c r="N89" s="8">
        <f>INDEX(Tarieven!$A$4:$E$7,MATCH($B89,Tarieven!$A$4:$A$7,0),4)</f>
        <v/>
      </c>
      <c r="O89" s="8">
        <f>IFERROR($L89*$M89,0)</f>
        <v/>
      </c>
      <c r="P89" s="8">
        <f>IFERROR($L89*$N89,0)</f>
        <v/>
      </c>
      <c r="Q89" s="2" t="inlineStr">
        <is>
          <t>normaal</t>
        </is>
      </c>
      <c r="R89" s="2" t="inlineStr">
        <is>
          <t>2026-07-21</t>
        </is>
      </c>
      <c r="S89" s="2" t="n">
        <v>30</v>
      </c>
      <c r="T89" s="2" t="n">
        <v>52.41349</v>
      </c>
      <c r="U89" s="2" t="n">
        <v>4.89882</v>
      </c>
      <c r="V89" s="2" t="inlineStr">
        <is>
          <t>Appelweg 31, Amsterdam</t>
        </is>
      </c>
      <c r="W89" s="2" t="inlineStr">
        <is>
          <t>Asfalt Schouw NOORD — 26 augustus 2026</t>
        </is>
      </c>
      <c r="X89" s="2" t="inlineStr">
        <is>
          <t>30/49</t>
        </is>
      </c>
      <c r="Y89" s="2" t="inlineStr">
        <is>
          <t>088-appelweg.jpg</t>
        </is>
      </c>
      <c r="Z89" s="9" t="inlineStr">
        <is>
          <t>handgeschreven code "HB" in de kantlijn</t>
        </is>
      </c>
      <c r="AA89" s="9" t="inlineStr"/>
      <c r="AB89" s="2" t="inlineStr">
        <is>
          <t>SOK-AMS-APPELWEG</t>
        </is>
      </c>
      <c r="AC89" s="2" t="inlineStr"/>
      <c r="AD89" s="2" t="n">
        <v>1</v>
      </c>
    </row>
    <row r="90">
      <c r="A90" s="2" t="inlineStr">
        <is>
          <t>SOK-AMS-2026-089</t>
        </is>
      </c>
      <c r="B90" s="2" t="inlineStr">
        <is>
          <t>Hotbox werkzaamheden</t>
        </is>
      </c>
      <c r="C90" s="2" t="inlineStr">
        <is>
          <t>Perenpad</t>
        </is>
      </c>
      <c r="D90" s="2" t="inlineStr">
        <is>
          <t>Tuindorp Oostzaan</t>
        </is>
      </c>
      <c r="E90" s="2" t="inlineStr">
        <is>
          <t>Perenpad bij ingang sportpark. Foto 1 6.00 x 1.00. Foto 2 2.00 x 1.80 + 0.80 x 1.60</t>
        </is>
      </c>
      <c r="F90" s="2" t="inlineStr">
        <is>
          <t>6,00 × 1,00 m + 2,00 × 1,80 m + 1,60 × 0,80 m  (samen 10,9 m²)</t>
        </is>
      </c>
      <c r="G90" s="2" t="n">
        <v>3</v>
      </c>
      <c r="H90" s="7" t="n">
        <v>9.6</v>
      </c>
      <c r="I90" s="7" t="n">
        <v>0.8</v>
      </c>
      <c r="J90" s="7" t="n">
        <v>10.88</v>
      </c>
      <c r="K90" s="2">
        <f>INDEX(Tarieven!$A$4:$E$7,MATCH($B90,Tarieven!$A$4:$A$7,0),2)</f>
        <v/>
      </c>
      <c r="L90" s="7">
        <f>IF($K90="plek",$G90,IF($K90="m1",$H90,$J90))</f>
        <v/>
      </c>
      <c r="M90" s="8">
        <f>INDEX(Tarieven!$A$4:$E$7,MATCH($B90,Tarieven!$A$4:$A$7,0),3)</f>
        <v/>
      </c>
      <c r="N90" s="8">
        <f>INDEX(Tarieven!$A$4:$E$7,MATCH($B90,Tarieven!$A$4:$A$7,0),4)</f>
        <v/>
      </c>
      <c r="O90" s="8">
        <f>IFERROR($L90*$M90,0)</f>
        <v/>
      </c>
      <c r="P90" s="8">
        <f>IFERROR($L90*$N90,0)</f>
        <v/>
      </c>
      <c r="Q90" s="2" t="inlineStr">
        <is>
          <t>normaal</t>
        </is>
      </c>
      <c r="R90" s="2" t="inlineStr">
        <is>
          <t>2026-07-21</t>
        </is>
      </c>
      <c r="S90" s="2" t="n">
        <v>30</v>
      </c>
      <c r="T90" s="2" t="n">
        <v>52.41373</v>
      </c>
      <c r="U90" s="2" t="n">
        <v>4.89507</v>
      </c>
      <c r="V90" s="2" t="inlineStr">
        <is>
          <t>Perenpad 3-5, Amsterdam</t>
        </is>
      </c>
      <c r="W90" s="2" t="inlineStr">
        <is>
          <t>Asfalt Schouw NOORD — 26 augustus 2026</t>
        </is>
      </c>
      <c r="X90" s="2" t="inlineStr">
        <is>
          <t>30/49</t>
        </is>
      </c>
      <c r="Y90" s="2" t="inlineStr">
        <is>
          <t>089-perenpad.jpg</t>
        </is>
      </c>
      <c r="Z90" s="9" t="inlineStr">
        <is>
          <t>handgeschreven code "HB" in de kantlijn</t>
        </is>
      </c>
      <c r="AA90" s="9" t="inlineStr"/>
      <c r="AB90" s="2" t="inlineStr">
        <is>
          <t>SOK-AMS-PERENPAD</t>
        </is>
      </c>
      <c r="AC90" s="2" t="inlineStr"/>
      <c r="AD90" s="2" t="n">
        <v>2</v>
      </c>
    </row>
    <row r="91">
      <c r="A91" s="2" t="inlineStr">
        <is>
          <t>SOK-AMS-2026-090</t>
        </is>
      </c>
      <c r="B91" s="2" t="inlineStr">
        <is>
          <t>Hotbox werkzaamheden</t>
        </is>
      </c>
      <c r="C91" s="2" t="inlineStr">
        <is>
          <t>Molenaarsweg</t>
        </is>
      </c>
      <c r="D91" s="2" t="inlineStr">
        <is>
          <t>Asfalt Schades Heel Noord</t>
        </is>
      </c>
      <c r="E91" s="2" t="inlineStr">
        <is>
          <t>Molenaarsweg / verlengde Stellingsweg richting A 10 stad uit</t>
        </is>
      </c>
      <c r="F91" s="2" t="inlineStr"/>
      <c r="G91" s="2" t="n">
        <v>0</v>
      </c>
      <c r="H91" s="7" t="n"/>
      <c r="I91" s="7" t="n"/>
      <c r="J91" s="7" t="n"/>
      <c r="K91" s="2">
        <f>INDEX(Tarieven!$A$4:$E$7,MATCH($B91,Tarieven!$A$4:$A$7,0),2)</f>
        <v/>
      </c>
      <c r="L91" s="7">
        <f>IF($K91="plek",$G91,IF($K91="m1",$H91,$J91))</f>
        <v/>
      </c>
      <c r="M91" s="8">
        <f>INDEX(Tarieven!$A$4:$E$7,MATCH($B91,Tarieven!$A$4:$A$7,0),3)</f>
        <v/>
      </c>
      <c r="N91" s="8">
        <f>INDEX(Tarieven!$A$4:$E$7,MATCH($B91,Tarieven!$A$4:$A$7,0),4)</f>
        <v/>
      </c>
      <c r="O91" s="8">
        <f>IFERROR($L91*$M91,0)</f>
        <v/>
      </c>
      <c r="P91" s="8">
        <f>IFERROR($L91*$N91,0)</f>
        <v/>
      </c>
      <c r="Q91" s="2" t="inlineStr">
        <is>
          <t>normaal</t>
        </is>
      </c>
      <c r="R91" s="2" t="inlineStr">
        <is>
          <t>2026-07-21</t>
        </is>
      </c>
      <c r="S91" s="2" t="n">
        <v>30</v>
      </c>
      <c r="T91" s="2" t="n">
        <v>52.4202</v>
      </c>
      <c r="U91" s="2" t="n">
        <v>4.88323</v>
      </c>
      <c r="V91" s="2" t="inlineStr">
        <is>
          <t>Marskramerstraat 3. Amsterdam</t>
        </is>
      </c>
      <c r="W91" s="2" t="inlineStr">
        <is>
          <t>Asfalt Schouw NOORD — 26 augustus 2026</t>
        </is>
      </c>
      <c r="X91" s="2" t="inlineStr">
        <is>
          <t>30/49</t>
        </is>
      </c>
      <c r="Y91" s="2" t="inlineStr">
        <is>
          <t>090-molenaarsweg.jpg</t>
        </is>
      </c>
      <c r="Z91" s="9" t="inlineStr">
        <is>
          <t>handgeschreven code "HB" in de kantlijn</t>
        </is>
      </c>
      <c r="AA91" s="9" t="inlineStr">
        <is>
          <t>geen maatvoering in de bron</t>
        </is>
      </c>
      <c r="AB91" s="2" t="inlineStr">
        <is>
          <t>SOK-AMS-MOLENAARSWEG</t>
        </is>
      </c>
      <c r="AC91" s="2" t="inlineStr"/>
      <c r="AD91" s="2" t="n">
        <v>1</v>
      </c>
    </row>
    <row r="92">
      <c r="A92" s="2" t="inlineStr">
        <is>
          <t>SOK-AMS-2026-091</t>
        </is>
      </c>
      <c r="B92" s="2" t="inlineStr">
        <is>
          <t>Hotbox werkzaamheden</t>
        </is>
      </c>
      <c r="C92" s="2" t="inlineStr">
        <is>
          <t>Kometensingel</t>
        </is>
      </c>
      <c r="D92" s="2" t="inlineStr">
        <is>
          <t>Asfalt Schades Heel Noord</t>
        </is>
      </c>
      <c r="E92" s="2" t="inlineStr">
        <is>
          <t>Kometensingel in bocht t.h.v. nr 261</t>
        </is>
      </c>
      <c r="F92" s="2" t="inlineStr"/>
      <c r="G92" s="2" t="n">
        <v>0</v>
      </c>
      <c r="H92" s="7" t="n"/>
      <c r="I92" s="7" t="n"/>
      <c r="J92" s="7" t="n"/>
      <c r="K92" s="2">
        <f>INDEX(Tarieven!$A$4:$E$7,MATCH($B92,Tarieven!$A$4:$A$7,0),2)</f>
        <v/>
      </c>
      <c r="L92" s="7">
        <f>IF($K92="plek",$G92,IF($K92="m1",$H92,$J92))</f>
        <v/>
      </c>
      <c r="M92" s="8">
        <f>INDEX(Tarieven!$A$4:$E$7,MATCH($B92,Tarieven!$A$4:$A$7,0),3)</f>
        <v/>
      </c>
      <c r="N92" s="8">
        <f>INDEX(Tarieven!$A$4:$E$7,MATCH($B92,Tarieven!$A$4:$A$7,0),4)</f>
        <v/>
      </c>
      <c r="O92" s="8">
        <f>IFERROR($L92*$M92,0)</f>
        <v/>
      </c>
      <c r="P92" s="8">
        <f>IFERROR($L92*$N92,0)</f>
        <v/>
      </c>
      <c r="Q92" s="2" t="inlineStr">
        <is>
          <t>normaal</t>
        </is>
      </c>
      <c r="R92" s="2" t="inlineStr">
        <is>
          <t>2026-07-21</t>
        </is>
      </c>
      <c r="S92" s="2" t="n">
        <v>30</v>
      </c>
      <c r="T92" s="2" t="n">
        <v>52.41663</v>
      </c>
      <c r="U92" s="2" t="n">
        <v>4.88284</v>
      </c>
      <c r="V92" s="2" t="inlineStr">
        <is>
          <t>Amsterdam</t>
        </is>
      </c>
      <c r="W92" s="2" t="inlineStr">
        <is>
          <t>Asfalt Schouw NOORD — 26 augustus 2026</t>
        </is>
      </c>
      <c r="X92" s="2" t="inlineStr">
        <is>
          <t>31/49</t>
        </is>
      </c>
      <c r="Y92" s="2" t="inlineStr">
        <is>
          <t>091-kometensingel.jpg</t>
        </is>
      </c>
      <c r="Z92" s="9" t="inlineStr">
        <is>
          <t>handgeschreven code "HB" in de kantlijn</t>
        </is>
      </c>
      <c r="AA92" s="9" t="inlineStr">
        <is>
          <t>geen maatvoering in de bron</t>
        </is>
      </c>
      <c r="AB92" s="2" t="inlineStr">
        <is>
          <t>SOK-AMS-KOMETENSINGEL</t>
        </is>
      </c>
      <c r="AC92" s="2" t="inlineStr"/>
      <c r="AD92" s="2" t="n">
        <v>2</v>
      </c>
    </row>
    <row r="93">
      <c r="A93" s="2" t="inlineStr">
        <is>
          <t>SOK-AMS-2026-092</t>
        </is>
      </c>
      <c r="B93" s="2" t="inlineStr">
        <is>
          <t>Hotbox werkzaamheden</t>
        </is>
      </c>
      <c r="C93" s="2" t="inlineStr">
        <is>
          <t>Kometensingel</t>
        </is>
      </c>
      <c r="D93" s="2" t="inlineStr">
        <is>
          <t>Tuindorp Oostzaan</t>
        </is>
      </c>
      <c r="E93" s="2" t="inlineStr">
        <is>
          <t>Kometensingel t.h.v. de Bethelkerk 1.90 x 1.90</t>
        </is>
      </c>
      <c r="F93" s="2" t="inlineStr">
        <is>
          <t>1,90 × 1,90 m  (samen 3,6 m²)</t>
        </is>
      </c>
      <c r="G93" s="2" t="n">
        <v>1</v>
      </c>
      <c r="H93" s="7" t="n">
        <v>1.9</v>
      </c>
      <c r="I93" s="7" t="n">
        <v>1.9</v>
      </c>
      <c r="J93" s="7" t="n">
        <v>3.61</v>
      </c>
      <c r="K93" s="2">
        <f>INDEX(Tarieven!$A$4:$E$7,MATCH($B93,Tarieven!$A$4:$A$7,0),2)</f>
        <v/>
      </c>
      <c r="L93" s="7">
        <f>IF($K93="plek",$G93,IF($K93="m1",$H93,$J93))</f>
        <v/>
      </c>
      <c r="M93" s="8">
        <f>INDEX(Tarieven!$A$4:$E$7,MATCH($B93,Tarieven!$A$4:$A$7,0),3)</f>
        <v/>
      </c>
      <c r="N93" s="8">
        <f>INDEX(Tarieven!$A$4:$E$7,MATCH($B93,Tarieven!$A$4:$A$7,0),4)</f>
        <v/>
      </c>
      <c r="O93" s="8">
        <f>IFERROR($L93*$M93,0)</f>
        <v/>
      </c>
      <c r="P93" s="8">
        <f>IFERROR($L93*$N93,0)</f>
        <v/>
      </c>
      <c r="Q93" s="2" t="inlineStr">
        <is>
          <t>normaal</t>
        </is>
      </c>
      <c r="R93" s="2" t="inlineStr">
        <is>
          <t>2026-07-21</t>
        </is>
      </c>
      <c r="S93" s="2" t="n">
        <v>30</v>
      </c>
      <c r="T93" s="2" t="n">
        <v>52.41691</v>
      </c>
      <c r="U93" s="2" t="n">
        <v>4.88385</v>
      </c>
      <c r="V93" s="2" t="inlineStr">
        <is>
          <t>Kermispad 26, Amsterdam</t>
        </is>
      </c>
      <c r="W93" s="2" t="inlineStr">
        <is>
          <t>Asfalt Schouw NOORD — 26 augustus 2026</t>
        </is>
      </c>
      <c r="X93" s="2" t="inlineStr">
        <is>
          <t>31/49</t>
        </is>
      </c>
      <c r="Y93" s="2" t="inlineStr">
        <is>
          <t>092-kometensingel.jpg</t>
        </is>
      </c>
      <c r="Z93" s="9" t="inlineStr">
        <is>
          <t>handgeschreven code "HB" in de kantlijn</t>
        </is>
      </c>
      <c r="AA93" s="9" t="inlineStr"/>
      <c r="AB93" s="2" t="inlineStr">
        <is>
          <t>SOK-AMS-KOMETENSINGEL</t>
        </is>
      </c>
      <c r="AC93" s="2" t="inlineStr"/>
      <c r="AD93" s="2" t="n">
        <v>2</v>
      </c>
    </row>
    <row r="94">
      <c r="A94" s="2" t="inlineStr">
        <is>
          <t>SOK-AMS-2026-093</t>
        </is>
      </c>
      <c r="B94" s="2" t="inlineStr">
        <is>
          <t>Hotbox werkzaamheden</t>
        </is>
      </c>
      <c r="C94" s="2" t="inlineStr">
        <is>
          <t>Scheepsbouwweg</t>
        </is>
      </c>
      <c r="D94" s="2" t="inlineStr">
        <is>
          <t>Tuindorp Oostzaan</t>
        </is>
      </c>
      <c r="E94" s="2" t="inlineStr">
        <is>
          <t>Scheepsbouwweg nr.175 Fp 0.50 x 1.90</t>
        </is>
      </c>
      <c r="F94" s="2" t="inlineStr">
        <is>
          <t>1,90 × 0,50 m  (samen 0,9 m²)</t>
        </is>
      </c>
      <c r="G94" s="2" t="n">
        <v>1</v>
      </c>
      <c r="H94" s="7" t="n">
        <v>1.9</v>
      </c>
      <c r="I94" s="7" t="n">
        <v>0.5</v>
      </c>
      <c r="J94" s="7" t="n">
        <v>0.95</v>
      </c>
      <c r="K94" s="2">
        <f>INDEX(Tarieven!$A$4:$E$7,MATCH($B94,Tarieven!$A$4:$A$7,0),2)</f>
        <v/>
      </c>
      <c r="L94" s="7">
        <f>IF($K94="plek",$G94,IF($K94="m1",$H94,$J94))</f>
        <v/>
      </c>
      <c r="M94" s="8">
        <f>INDEX(Tarieven!$A$4:$E$7,MATCH($B94,Tarieven!$A$4:$A$7,0),3)</f>
        <v/>
      </c>
      <c r="N94" s="8">
        <f>INDEX(Tarieven!$A$4:$E$7,MATCH($B94,Tarieven!$A$4:$A$7,0),4)</f>
        <v/>
      </c>
      <c r="O94" s="8">
        <f>IFERROR($L94*$M94,0)</f>
        <v/>
      </c>
      <c r="P94" s="8">
        <f>IFERROR($L94*$N94,0)</f>
        <v/>
      </c>
      <c r="Q94" s="2" t="inlineStr">
        <is>
          <t>normaal</t>
        </is>
      </c>
      <c r="R94" s="2" t="inlineStr">
        <is>
          <t>2026-07-27</t>
        </is>
      </c>
      <c r="S94" s="2" t="n">
        <v>31</v>
      </c>
      <c r="T94" s="2" t="n">
        <v>52.40785</v>
      </c>
      <c r="U94" s="2" t="n">
        <v>4.89994</v>
      </c>
      <c r="V94" s="2" t="inlineStr">
        <is>
          <t>Scheepsbouwweg 191, Amsterdam</t>
        </is>
      </c>
      <c r="W94" s="2" t="inlineStr">
        <is>
          <t>Asfalt Schouw NOORD — 26 augustus 2026</t>
        </is>
      </c>
      <c r="X94" s="2" t="inlineStr">
        <is>
          <t>32/49</t>
        </is>
      </c>
      <c r="Y94" s="2" t="inlineStr">
        <is>
          <t>093-scheepsbouwweg.jpg</t>
        </is>
      </c>
      <c r="Z94" s="9" t="inlineStr">
        <is>
          <t>handgeschreven code "HB" in de kantlijn</t>
        </is>
      </c>
      <c r="AA94" s="9" t="inlineStr"/>
      <c r="AB94" s="2" t="inlineStr">
        <is>
          <t>SOK-AMS-SCHEEPSBOUWWEG</t>
        </is>
      </c>
      <c r="AC94" s="2" t="inlineStr"/>
      <c r="AD94" s="2" t="n">
        <v>1</v>
      </c>
    </row>
    <row r="95">
      <c r="A95" s="2" t="inlineStr">
        <is>
          <t>SOK-AMS-2026-094</t>
        </is>
      </c>
      <c r="B95" s="2" t="inlineStr">
        <is>
          <t>Asfalt machinaal</t>
        </is>
      </c>
      <c r="C95" s="2" t="inlineStr">
        <is>
          <t>Scheepsbouwweg</t>
        </is>
      </c>
      <c r="D95" s="2" t="inlineStr">
        <is>
          <t>Asfalt Schades Heel Noord</t>
        </is>
      </c>
      <c r="E95" s="2" t="inlineStr">
        <is>
          <t>Scheepsbouwweg nr 46 9.00 x 2.00 foto 1+2. Foto 3 nr. 48 14.00 x 1.10. Foto 4, 18.00 x 3.00 inclusief de goot</t>
        </is>
      </c>
      <c r="F95" s="2" t="inlineStr">
        <is>
          <t>9,00 × 2,00 m + 14,00 × 1,10 m + 18,00 × 3,00 m  (samen 87,4 m²)</t>
        </is>
      </c>
      <c r="G95" s="2" t="n">
        <v>3</v>
      </c>
      <c r="H95" s="7" t="n">
        <v>41</v>
      </c>
      <c r="I95" s="7" t="n">
        <v>1.1</v>
      </c>
      <c r="J95" s="7" t="n">
        <v>87.40000000000001</v>
      </c>
      <c r="K95" s="2">
        <f>INDEX(Tarieven!$A$4:$E$7,MATCH($B95,Tarieven!$A$4:$A$7,0),2)</f>
        <v/>
      </c>
      <c r="L95" s="7">
        <f>IF($K95="plek",$G95,IF($K95="m1",$H95,$J95))</f>
        <v/>
      </c>
      <c r="M95" s="8">
        <f>INDEX(Tarieven!$A$4:$E$7,MATCH($B95,Tarieven!$A$4:$A$7,0),3)</f>
        <v/>
      </c>
      <c r="N95" s="8">
        <f>INDEX(Tarieven!$A$4:$E$7,MATCH($B95,Tarieven!$A$4:$A$7,0),4)</f>
        <v/>
      </c>
      <c r="O95" s="8">
        <f>IFERROR($L95*$M95,0)</f>
        <v/>
      </c>
      <c r="P95" s="8">
        <f>IFERROR($L95*$N95,0)</f>
        <v/>
      </c>
      <c r="Q95" s="2" t="inlineStr">
        <is>
          <t>normaal</t>
        </is>
      </c>
      <c r="R95" s="2" t="inlineStr">
        <is>
          <t>2026-07-27</t>
        </is>
      </c>
      <c r="S95" s="2" t="n">
        <v>31</v>
      </c>
      <c r="T95" s="2" t="n">
        <v>52.40784</v>
      </c>
      <c r="U95" s="2" t="n">
        <v>4.89928</v>
      </c>
      <c r="V95" s="2" t="inlineStr">
        <is>
          <t>Nageljongenstraat 17, Amsterdam</t>
        </is>
      </c>
      <c r="W95" s="2" t="inlineStr">
        <is>
          <t>Asfalt Schouw NOORD — 26 augustus 2026</t>
        </is>
      </c>
      <c r="X95" s="2" t="inlineStr">
        <is>
          <t>32/49</t>
        </is>
      </c>
      <c r="Y95" s="2" t="inlineStr">
        <is>
          <t>094-scheepsbouwweg.jpg</t>
        </is>
      </c>
      <c r="Z95" s="9" t="inlineStr">
        <is>
          <t>handgeschreven code "AS" in de kantlijn</t>
        </is>
      </c>
      <c r="AA95" s="9" t="inlineStr"/>
      <c r="AB95" s="2" t="inlineStr">
        <is>
          <t>SOK-AMS-SCHEEPSBOUWWEG</t>
        </is>
      </c>
      <c r="AC95" s="2" t="inlineStr"/>
      <c r="AD95" s="2" t="n">
        <v>4</v>
      </c>
    </row>
    <row r="96">
      <c r="A96" s="2" t="inlineStr">
        <is>
          <t>SOK-AMS-2026-095</t>
        </is>
      </c>
      <c r="B96" s="2" t="inlineStr">
        <is>
          <t>Asfalt – nog in te delen</t>
        </is>
      </c>
      <c r="C96" s="2" t="inlineStr">
        <is>
          <t>Buiksloterdijk</t>
        </is>
      </c>
      <c r="D96" s="2" t="inlineStr">
        <is>
          <t>Kadoelen</t>
        </is>
      </c>
      <c r="E96" s="2" t="inlineStr">
        <is>
          <t>Buiksloterdijk, toegang gemaal. 4.50 x 0.40</t>
        </is>
      </c>
      <c r="F96" s="2" t="inlineStr">
        <is>
          <t>4,50 × 0,40 m  (samen 1,8 m²)</t>
        </is>
      </c>
      <c r="G96" s="2" t="n">
        <v>1</v>
      </c>
      <c r="H96" s="7" t="n">
        <v>4.5</v>
      </c>
      <c r="I96" s="7" t="n">
        <v>0.4</v>
      </c>
      <c r="J96" s="7" t="n">
        <v>1.8</v>
      </c>
      <c r="K96" s="2">
        <f>INDEX(Tarieven!$A$4:$E$7,MATCH($B96,Tarieven!$A$4:$A$7,0),2)</f>
        <v/>
      </c>
      <c r="L96" s="7">
        <f>IF($K96="plek",$G96,IF($K96="m1",$H96,$J96))</f>
        <v/>
      </c>
      <c r="M96" s="8">
        <f>INDEX(Tarieven!$A$4:$E$7,MATCH($B96,Tarieven!$A$4:$A$7,0),3)</f>
        <v/>
      </c>
      <c r="N96" s="8">
        <f>INDEX(Tarieven!$A$4:$E$7,MATCH($B96,Tarieven!$A$4:$A$7,0),4)</f>
        <v/>
      </c>
      <c r="O96" s="8">
        <f>IFERROR($L96*$M96,0)</f>
        <v/>
      </c>
      <c r="P96" s="8">
        <f>IFERROR($L96*$N96,0)</f>
        <v/>
      </c>
      <c r="Q96" s="2" t="inlineStr">
        <is>
          <t>normaal</t>
        </is>
      </c>
      <c r="R96" s="2" t="inlineStr">
        <is>
          <t>2026-07-27</t>
        </is>
      </c>
      <c r="S96" s="2" t="n">
        <v>31</v>
      </c>
      <c r="T96" s="2" t="n">
        <v>52.409</v>
      </c>
      <c r="U96" s="2" t="n">
        <v>4.9089</v>
      </c>
      <c r="V96" s="2" t="inlineStr">
        <is>
          <t>Landsmeerderdijk 213, Amsterdam</t>
        </is>
      </c>
      <c r="W96" s="2" t="inlineStr">
        <is>
          <t>Asfalt Schouw NOORD — 26 augustus 2026</t>
        </is>
      </c>
      <c r="X96" s="2" t="inlineStr">
        <is>
          <t>32/49</t>
        </is>
      </c>
      <c r="Y96" s="2" t="inlineStr">
        <is>
          <t>095-buiksloterdijk.jpg</t>
        </is>
      </c>
      <c r="Z96" s="9" t="inlineStr">
        <is>
          <t>geen code in de kantlijn en geen asfaltsoort in de tekst</t>
        </is>
      </c>
      <c r="AA96" s="9" t="inlineStr"/>
      <c r="AB96" s="2" t="inlineStr">
        <is>
          <t>SOK-AMS-BUIKSLOTERDIJK</t>
        </is>
      </c>
      <c r="AC96" s="2" t="inlineStr"/>
      <c r="AD96" s="2" t="n">
        <v>1</v>
      </c>
    </row>
    <row r="97">
      <c r="A97" s="2" t="inlineStr">
        <is>
          <t>SOK-AMS-2026-096</t>
        </is>
      </c>
      <c r="B97" s="2" t="inlineStr">
        <is>
          <t>Asfalt machinaal</t>
        </is>
      </c>
      <c r="C97" s="2" t="inlineStr">
        <is>
          <t>Buiksloterdijk</t>
        </is>
      </c>
      <c r="D97" s="2" t="inlineStr">
        <is>
          <t>Asfalt Schades Heel Noord</t>
        </is>
      </c>
      <c r="E97" s="2" t="inlineStr">
        <is>
          <t>Buiksloterdijk toegang gemaal. 4.00 x 4.00</t>
        </is>
      </c>
      <c r="F97" s="2" t="inlineStr">
        <is>
          <t>4,00 × 4,00 m  (samen 16,0 m²)</t>
        </is>
      </c>
      <c r="G97" s="2" t="n">
        <v>1</v>
      </c>
      <c r="H97" s="7" t="n">
        <v>4</v>
      </c>
      <c r="I97" s="7" t="n">
        <v>4</v>
      </c>
      <c r="J97" s="7" t="n">
        <v>16</v>
      </c>
      <c r="K97" s="2">
        <f>INDEX(Tarieven!$A$4:$E$7,MATCH($B97,Tarieven!$A$4:$A$7,0),2)</f>
        <v/>
      </c>
      <c r="L97" s="7">
        <f>IF($K97="plek",$G97,IF($K97="m1",$H97,$J97))</f>
        <v/>
      </c>
      <c r="M97" s="8">
        <f>INDEX(Tarieven!$A$4:$E$7,MATCH($B97,Tarieven!$A$4:$A$7,0),3)</f>
        <v/>
      </c>
      <c r="N97" s="8">
        <f>INDEX(Tarieven!$A$4:$E$7,MATCH($B97,Tarieven!$A$4:$A$7,0),4)</f>
        <v/>
      </c>
      <c r="O97" s="8">
        <f>IFERROR($L97*$M97,0)</f>
        <v/>
      </c>
      <c r="P97" s="8">
        <f>IFERROR($L97*$N97,0)</f>
        <v/>
      </c>
      <c r="Q97" s="2" t="inlineStr">
        <is>
          <t>normaal</t>
        </is>
      </c>
      <c r="R97" s="2" t="inlineStr">
        <is>
          <t>2026-07-27</t>
        </is>
      </c>
      <c r="S97" s="2" t="n">
        <v>31</v>
      </c>
      <c r="T97" s="2" t="n">
        <v>52.40787</v>
      </c>
      <c r="U97" s="2" t="n">
        <v>4.90682</v>
      </c>
      <c r="V97" s="2" t="inlineStr">
        <is>
          <t>Kaneelappelstraat 126, Amsterdam</t>
        </is>
      </c>
      <c r="W97" s="2" t="inlineStr">
        <is>
          <t>Asfalt Schouw NOORD — 26 augustus 2026</t>
        </is>
      </c>
      <c r="X97" s="2" t="inlineStr">
        <is>
          <t>33/49</t>
        </is>
      </c>
      <c r="Y97" s="2" t="inlineStr">
        <is>
          <t>096-buiksloterdijk.jpg</t>
        </is>
      </c>
      <c r="Z97" s="9" t="inlineStr">
        <is>
          <t>handgeschreven code "AS" in de kantlijn</t>
        </is>
      </c>
      <c r="AA97" s="9" t="inlineStr"/>
      <c r="AB97" s="2" t="inlineStr">
        <is>
          <t>SOK-AMS-BUIKSLOTERDIJK</t>
        </is>
      </c>
      <c r="AC97" s="2" t="inlineStr"/>
      <c r="AD97" s="2" t="n">
        <v>2</v>
      </c>
    </row>
    <row r="98">
      <c r="A98" s="2" t="inlineStr">
        <is>
          <t>SOK-AMS-2026-097</t>
        </is>
      </c>
      <c r="B98" s="2" t="inlineStr">
        <is>
          <t>Asfalt – nog in te delen</t>
        </is>
      </c>
      <c r="C98" s="2" t="inlineStr">
        <is>
          <t>Buiksloterdijk</t>
        </is>
      </c>
      <c r="D98" s="2" t="inlineStr">
        <is>
          <t>Kadoelen</t>
        </is>
      </c>
      <c r="E98" s="2" t="inlineStr">
        <is>
          <t>Buiksloterdijk nr. 140 8.00 x 0.60</t>
        </is>
      </c>
      <c r="F98" s="2" t="inlineStr">
        <is>
          <t>8,00 × 0,60 m  (samen 4,8 m²)</t>
        </is>
      </c>
      <c r="G98" s="2" t="n">
        <v>1</v>
      </c>
      <c r="H98" s="7" t="n">
        <v>8</v>
      </c>
      <c r="I98" s="7" t="n">
        <v>0.6</v>
      </c>
      <c r="J98" s="7" t="n">
        <v>4.8</v>
      </c>
      <c r="K98" s="2">
        <f>INDEX(Tarieven!$A$4:$E$7,MATCH($B98,Tarieven!$A$4:$A$7,0),2)</f>
        <v/>
      </c>
      <c r="L98" s="7">
        <f>IF($K98="plek",$G98,IF($K98="m1",$H98,$J98))</f>
        <v/>
      </c>
      <c r="M98" s="8">
        <f>INDEX(Tarieven!$A$4:$E$7,MATCH($B98,Tarieven!$A$4:$A$7,0),3)</f>
        <v/>
      </c>
      <c r="N98" s="8">
        <f>INDEX(Tarieven!$A$4:$E$7,MATCH($B98,Tarieven!$A$4:$A$7,0),4)</f>
        <v/>
      </c>
      <c r="O98" s="8">
        <f>IFERROR($L98*$M98,0)</f>
        <v/>
      </c>
      <c r="P98" s="8">
        <f>IFERROR($L98*$N98,0)</f>
        <v/>
      </c>
      <c r="Q98" s="2" t="inlineStr">
        <is>
          <t>normaal</t>
        </is>
      </c>
      <c r="R98" s="2" t="inlineStr">
        <is>
          <t>2026-07-27</t>
        </is>
      </c>
      <c r="S98" s="2" t="n">
        <v>31</v>
      </c>
      <c r="T98" s="2" t="n">
        <v>52.4092</v>
      </c>
      <c r="U98" s="2" t="n">
        <v>4.90745</v>
      </c>
      <c r="V98" s="2" t="inlineStr">
        <is>
          <t>Landsmeerderdijk 140, Amsterdam</t>
        </is>
      </c>
      <c r="W98" s="2" t="inlineStr">
        <is>
          <t>Asfalt Schouw NOORD — 26 augustus 2026</t>
        </is>
      </c>
      <c r="X98" s="2" t="inlineStr">
        <is>
          <t>33/49</t>
        </is>
      </c>
      <c r="Y98" s="2" t="inlineStr">
        <is>
          <t>097-buiksloterdijk.jpg</t>
        </is>
      </c>
      <c r="Z98" s="9" t="inlineStr">
        <is>
          <t>geen code in de kantlijn en geen asfaltsoort in de tekst</t>
        </is>
      </c>
      <c r="AA98" s="9" t="inlineStr"/>
      <c r="AB98" s="2" t="inlineStr">
        <is>
          <t>SOK-AMS-BUIKSLOTERDIJK</t>
        </is>
      </c>
      <c r="AC98" s="2" t="inlineStr"/>
      <c r="AD98" s="2" t="n">
        <v>1</v>
      </c>
    </row>
    <row r="99">
      <c r="A99" s="2" t="inlineStr">
        <is>
          <t>SOK-AMS-2026-098</t>
        </is>
      </c>
      <c r="B99" s="2" t="inlineStr">
        <is>
          <t>Hotbox werkzaamheden</t>
        </is>
      </c>
      <c r="C99" s="2" t="inlineStr">
        <is>
          <t>Buiksloterdijk</t>
        </is>
      </c>
      <c r="D99" s="2" t="inlineStr">
        <is>
          <t>Kadoelen</t>
        </is>
      </c>
      <c r="E99" s="2" t="inlineStr">
        <is>
          <t>Buiksloterdijk tussen nr. 140 / 138. Fp. 1.60 x 1.60</t>
        </is>
      </c>
      <c r="F99" s="2" t="inlineStr">
        <is>
          <t>1,60 × 1,60 m  (samen 2,6 m²)</t>
        </is>
      </c>
      <c r="G99" s="2" t="n">
        <v>1</v>
      </c>
      <c r="H99" s="7" t="n">
        <v>1.6</v>
      </c>
      <c r="I99" s="7" t="n">
        <v>1.6</v>
      </c>
      <c r="J99" s="7" t="n">
        <v>2.56</v>
      </c>
      <c r="K99" s="2">
        <f>INDEX(Tarieven!$A$4:$E$7,MATCH($B99,Tarieven!$A$4:$A$7,0),2)</f>
        <v/>
      </c>
      <c r="L99" s="7">
        <f>IF($K99="plek",$G99,IF($K99="m1",$H99,$J99))</f>
        <v/>
      </c>
      <c r="M99" s="8">
        <f>INDEX(Tarieven!$A$4:$E$7,MATCH($B99,Tarieven!$A$4:$A$7,0),3)</f>
        <v/>
      </c>
      <c r="N99" s="8">
        <f>INDEX(Tarieven!$A$4:$E$7,MATCH($B99,Tarieven!$A$4:$A$7,0),4)</f>
        <v/>
      </c>
      <c r="O99" s="8">
        <f>IFERROR($L99*$M99,0)</f>
        <v/>
      </c>
      <c r="P99" s="8">
        <f>IFERROR($L99*$N99,0)</f>
        <v/>
      </c>
      <c r="Q99" s="2" t="inlineStr">
        <is>
          <t>normaal</t>
        </is>
      </c>
      <c r="R99" s="2" t="inlineStr">
        <is>
          <t>2026-07-27</t>
        </is>
      </c>
      <c r="S99" s="2" t="n">
        <v>31</v>
      </c>
      <c r="T99" s="2" t="n">
        <v>52.40906</v>
      </c>
      <c r="U99" s="2" t="n">
        <v>4.90835</v>
      </c>
      <c r="V99" s="2" t="inlineStr">
        <is>
          <t>Landsmeerderdijk 211, Amsterdam</t>
        </is>
      </c>
      <c r="W99" s="2" t="inlineStr">
        <is>
          <t>Asfalt Schouw NOORD — 26 augustus 2026</t>
        </is>
      </c>
      <c r="X99" s="2" t="inlineStr">
        <is>
          <t>33/49</t>
        </is>
      </c>
      <c r="Y99" s="2" t="inlineStr">
        <is>
          <t>098-buiksloterdijk.jpg</t>
        </is>
      </c>
      <c r="Z99" s="9" t="inlineStr">
        <is>
          <t>handgeschreven code "HB" in de kantlijn</t>
        </is>
      </c>
      <c r="AA99" s="9" t="inlineStr"/>
      <c r="AB99" s="2" t="inlineStr">
        <is>
          <t>SOK-AMS-BUIKSLOTERDIJK</t>
        </is>
      </c>
      <c r="AC99" s="2" t="inlineStr"/>
      <c r="AD99" s="2" t="n">
        <v>2</v>
      </c>
    </row>
    <row r="100">
      <c r="A100" s="2" t="inlineStr">
        <is>
          <t>SOK-AMS-2026-099</t>
        </is>
      </c>
      <c r="B100" s="2" t="inlineStr">
        <is>
          <t>Hotbox werkzaamheden</t>
        </is>
      </c>
      <c r="C100" s="2" t="inlineStr">
        <is>
          <t>Buiksloterdijk</t>
        </is>
      </c>
      <c r="D100" s="2" t="inlineStr">
        <is>
          <t>Kadoelen</t>
        </is>
      </c>
      <c r="E100" s="2" t="inlineStr">
        <is>
          <t>Buiksloterdijk voor afslag Kadoelenweg. Foto 1 3.00 x 1.80. foto 2 3.60 x 1.60</t>
        </is>
      </c>
      <c r="F100" s="2" t="inlineStr">
        <is>
          <t>3,00 × 1,80 m + 3,60 × 1,60 m  (samen 11,2 m²)</t>
        </is>
      </c>
      <c r="G100" s="2" t="n">
        <v>2</v>
      </c>
      <c r="H100" s="7" t="n">
        <v>6.6</v>
      </c>
      <c r="I100" s="7" t="n">
        <v>1.6</v>
      </c>
      <c r="J100" s="7" t="n">
        <v>11.16</v>
      </c>
      <c r="K100" s="2">
        <f>INDEX(Tarieven!$A$4:$E$7,MATCH($B100,Tarieven!$A$4:$A$7,0),2)</f>
        <v/>
      </c>
      <c r="L100" s="7">
        <f>IF($K100="plek",$G100,IF($K100="m1",$H100,$J100))</f>
        <v/>
      </c>
      <c r="M100" s="8">
        <f>INDEX(Tarieven!$A$4:$E$7,MATCH($B100,Tarieven!$A$4:$A$7,0),3)</f>
        <v/>
      </c>
      <c r="N100" s="8">
        <f>INDEX(Tarieven!$A$4:$E$7,MATCH($B100,Tarieven!$A$4:$A$7,0),4)</f>
        <v/>
      </c>
      <c r="O100" s="8">
        <f>IFERROR($L100*$M100,0)</f>
        <v/>
      </c>
      <c r="P100" s="8">
        <f>IFERROR($L100*$N100,0)</f>
        <v/>
      </c>
      <c r="Q100" s="2" t="inlineStr">
        <is>
          <t>normaal</t>
        </is>
      </c>
      <c r="R100" s="2" t="inlineStr">
        <is>
          <t>2026-07-27</t>
        </is>
      </c>
      <c r="S100" s="2" t="n">
        <v>31</v>
      </c>
      <c r="T100" s="2" t="n">
        <v>52.40945</v>
      </c>
      <c r="U100" s="2" t="n">
        <v>4.90726</v>
      </c>
      <c r="V100" s="2" t="inlineStr">
        <is>
          <t>Landsmeerderdijk 138, Amsterdam</t>
        </is>
      </c>
      <c r="W100" s="2" t="inlineStr">
        <is>
          <t>Asfalt Schouw NOORD — 26 augustus 2026</t>
        </is>
      </c>
      <c r="X100" s="2" t="inlineStr">
        <is>
          <t>34/49</t>
        </is>
      </c>
      <c r="Y100" s="2" t="inlineStr">
        <is>
          <t>099-buiksloterdijk.jpg</t>
        </is>
      </c>
      <c r="Z100" s="9" t="inlineStr">
        <is>
          <t>handgeschreven code "HB" in de kantlijn</t>
        </is>
      </c>
      <c r="AA100" s="9" t="inlineStr"/>
      <c r="AB100" s="2" t="inlineStr">
        <is>
          <t>SOK-AMS-BUIKSLOTERDIJK</t>
        </is>
      </c>
      <c r="AC100" s="2" t="inlineStr"/>
      <c r="AD100" s="2" t="n">
        <v>2</v>
      </c>
    </row>
    <row r="101">
      <c r="A101" s="2" t="inlineStr">
        <is>
          <t>SOK-AMS-2026-100</t>
        </is>
      </c>
      <c r="B101" s="2" t="inlineStr">
        <is>
          <t>Hotbox werkzaamheden</t>
        </is>
      </c>
      <c r="C101" s="2" t="inlineStr">
        <is>
          <t>Landsmeerderdijk</t>
        </is>
      </c>
      <c r="D101" s="2" t="inlineStr">
        <is>
          <t>Kadoelen</t>
        </is>
      </c>
      <c r="E101" s="2" t="inlineStr">
        <is>
          <t>Landsmeerdijk nr. 191 foto 1 7.60 x 0.70. Foto 2 + 3 55.30</t>
        </is>
      </c>
      <c r="F101" s="2" t="inlineStr">
        <is>
          <t>7,60 × 0,70 m  (samen 5,3 m²)</t>
        </is>
      </c>
      <c r="G101" s="2" t="n">
        <v>1</v>
      </c>
      <c r="H101" s="7" t="n">
        <v>7.6</v>
      </c>
      <c r="I101" s="7" t="n">
        <v>0.7</v>
      </c>
      <c r="J101" s="7" t="n">
        <v>5.32</v>
      </c>
      <c r="K101" s="2">
        <f>INDEX(Tarieven!$A$4:$E$7,MATCH($B101,Tarieven!$A$4:$A$7,0),2)</f>
        <v/>
      </c>
      <c r="L101" s="7">
        <f>IF($K101="plek",$G101,IF($K101="m1",$H101,$J101))</f>
        <v/>
      </c>
      <c r="M101" s="8">
        <f>INDEX(Tarieven!$A$4:$E$7,MATCH($B101,Tarieven!$A$4:$A$7,0),3)</f>
        <v/>
      </c>
      <c r="N101" s="8">
        <f>INDEX(Tarieven!$A$4:$E$7,MATCH($B101,Tarieven!$A$4:$A$7,0),4)</f>
        <v/>
      </c>
      <c r="O101" s="8">
        <f>IFERROR($L101*$M101,0)</f>
        <v/>
      </c>
      <c r="P101" s="8">
        <f>IFERROR($L101*$N101,0)</f>
        <v/>
      </c>
      <c r="Q101" s="2" t="inlineStr">
        <is>
          <t>normaal</t>
        </is>
      </c>
      <c r="R101" s="2" t="inlineStr">
        <is>
          <t>2026-07-27</t>
        </is>
      </c>
      <c r="S101" s="2" t="n">
        <v>31</v>
      </c>
      <c r="T101" s="2" t="n">
        <v>52.41022</v>
      </c>
      <c r="U101" s="2" t="n">
        <v>4.90668</v>
      </c>
      <c r="V101" s="2" t="inlineStr">
        <is>
          <t>Landsmeerderdijk 191, Amsterdam</t>
        </is>
      </c>
      <c r="W101" s="2" t="inlineStr">
        <is>
          <t>Asfalt Schouw NOORD — 26 augustus 2026</t>
        </is>
      </c>
      <c r="X101" s="2" t="inlineStr">
        <is>
          <t>34/49</t>
        </is>
      </c>
      <c r="Y101" s="2" t="inlineStr">
        <is>
          <t>100-landsmeerderdijk.jpg</t>
        </is>
      </c>
      <c r="Z101" s="9" t="inlineStr">
        <is>
          <t>handgeschreven code "HB" in de kantlijn</t>
        </is>
      </c>
      <c r="AA101" s="9" t="inlineStr"/>
      <c r="AB101" s="2" t="inlineStr">
        <is>
          <t>SOK-AMS-LANDSMEERDERDIJK</t>
        </is>
      </c>
      <c r="AC101" s="2" t="inlineStr"/>
      <c r="AD101" s="2" t="n">
        <v>3</v>
      </c>
    </row>
    <row r="102">
      <c r="A102" s="2" t="inlineStr">
        <is>
          <t>SOK-AMS-2026-101</t>
        </is>
      </c>
      <c r="B102" s="2" t="inlineStr">
        <is>
          <t>Hotbox werkzaamheden</t>
        </is>
      </c>
      <c r="C102" s="2" t="inlineStr">
        <is>
          <t>Landsmeerderdijk</t>
        </is>
      </c>
      <c r="D102" s="2" t="inlineStr">
        <is>
          <t>Kadoelen</t>
        </is>
      </c>
      <c r="E102" s="2" t="inlineStr">
        <is>
          <t>Landsmeerdijk nr. 108 0.90 x 2.20</t>
        </is>
      </c>
      <c r="F102" s="2" t="inlineStr">
        <is>
          <t>2,20 × 0,90 m  (samen 2,0 m²)</t>
        </is>
      </c>
      <c r="G102" s="2" t="n">
        <v>1</v>
      </c>
      <c r="H102" s="7" t="n">
        <v>2.2</v>
      </c>
      <c r="I102" s="7" t="n">
        <v>0.9</v>
      </c>
      <c r="J102" s="7" t="n">
        <v>1.98</v>
      </c>
      <c r="K102" s="2">
        <f>INDEX(Tarieven!$A$4:$E$7,MATCH($B102,Tarieven!$A$4:$A$7,0),2)</f>
        <v/>
      </c>
      <c r="L102" s="7">
        <f>IF($K102="plek",$G102,IF($K102="m1",$H102,$J102))</f>
        <v/>
      </c>
      <c r="M102" s="8">
        <f>INDEX(Tarieven!$A$4:$E$7,MATCH($B102,Tarieven!$A$4:$A$7,0),3)</f>
        <v/>
      </c>
      <c r="N102" s="8">
        <f>INDEX(Tarieven!$A$4:$E$7,MATCH($B102,Tarieven!$A$4:$A$7,0),4)</f>
        <v/>
      </c>
      <c r="O102" s="8">
        <f>IFERROR($L102*$M102,0)</f>
        <v/>
      </c>
      <c r="P102" s="8">
        <f>IFERROR($L102*$N102,0)</f>
        <v/>
      </c>
      <c r="Q102" s="2" t="inlineStr">
        <is>
          <t>normaal</t>
        </is>
      </c>
      <c r="R102" s="2" t="inlineStr">
        <is>
          <t>2026-07-27</t>
        </is>
      </c>
      <c r="S102" s="2" t="n">
        <v>31</v>
      </c>
      <c r="T102" s="2" t="n">
        <v>52.41057</v>
      </c>
      <c r="U102" s="2" t="n">
        <v>4.90605</v>
      </c>
      <c r="V102" s="2" t="inlineStr">
        <is>
          <t>Leggende Osstraat 10, Amsterdam</t>
        </is>
      </c>
      <c r="W102" s="2" t="inlineStr">
        <is>
          <t>Asfalt Schouw NOORD — 26 augustus 2026</t>
        </is>
      </c>
      <c r="X102" s="2" t="inlineStr">
        <is>
          <t>34/49</t>
        </is>
      </c>
      <c r="Y102" s="2" t="inlineStr">
        <is>
          <t>101-landsmeerderdijk.jpg</t>
        </is>
      </c>
      <c r="Z102" s="9" t="inlineStr">
        <is>
          <t>handgeschreven code "HB" in de kantlijn</t>
        </is>
      </c>
      <c r="AA102" s="9" t="inlineStr"/>
      <c r="AB102" s="2" t="inlineStr">
        <is>
          <t>SOK-AMS-LANDSMEERDERDIJK</t>
        </is>
      </c>
      <c r="AC102" s="2" t="inlineStr"/>
      <c r="AD102" s="2" t="n">
        <v>1</v>
      </c>
    </row>
    <row r="103">
      <c r="A103" s="2" t="inlineStr">
        <is>
          <t>SOK-AMS-2026-102</t>
        </is>
      </c>
      <c r="B103" s="2" t="inlineStr">
        <is>
          <t>Hotbox werkzaamheden</t>
        </is>
      </c>
      <c r="C103" s="2" t="inlineStr">
        <is>
          <t>Landsmeerderdijk</t>
        </is>
      </c>
      <c r="D103" s="2" t="inlineStr">
        <is>
          <t>Kadoelen</t>
        </is>
      </c>
      <c r="E103" s="2" t="inlineStr">
        <is>
          <t>Landsmeerdijk nr. 94 2.90 x 0.50</t>
        </is>
      </c>
      <c r="F103" s="2" t="inlineStr">
        <is>
          <t>2,90 × 0,50 m  (samen 1,4 m²)</t>
        </is>
      </c>
      <c r="G103" s="2" t="n">
        <v>1</v>
      </c>
      <c r="H103" s="7" t="n">
        <v>2.9</v>
      </c>
      <c r="I103" s="7" t="n">
        <v>0.5</v>
      </c>
      <c r="J103" s="7" t="n">
        <v>1.45</v>
      </c>
      <c r="K103" s="2">
        <f>INDEX(Tarieven!$A$4:$E$7,MATCH($B103,Tarieven!$A$4:$A$7,0),2)</f>
        <v/>
      </c>
      <c r="L103" s="7">
        <f>IF($K103="plek",$G103,IF($K103="m1",$H103,$J103))</f>
        <v/>
      </c>
      <c r="M103" s="8">
        <f>INDEX(Tarieven!$A$4:$E$7,MATCH($B103,Tarieven!$A$4:$A$7,0),3)</f>
        <v/>
      </c>
      <c r="N103" s="8">
        <f>INDEX(Tarieven!$A$4:$E$7,MATCH($B103,Tarieven!$A$4:$A$7,0),4)</f>
        <v/>
      </c>
      <c r="O103" s="8">
        <f>IFERROR($L103*$M103,0)</f>
        <v/>
      </c>
      <c r="P103" s="8">
        <f>IFERROR($L103*$N103,0)</f>
        <v/>
      </c>
      <c r="Q103" s="2" t="inlineStr">
        <is>
          <t>normaal</t>
        </is>
      </c>
      <c r="R103" s="2" t="inlineStr">
        <is>
          <t>2026-07-27</t>
        </is>
      </c>
      <c r="S103" s="2" t="n">
        <v>31</v>
      </c>
      <c r="T103" s="2" t="n">
        <v>52.4115</v>
      </c>
      <c r="U103" s="2" t="n">
        <v>4.90373</v>
      </c>
      <c r="V103" s="2" t="inlineStr">
        <is>
          <t>Landsmeerderdijk 94, Amsterdam</t>
        </is>
      </c>
      <c r="W103" s="2" t="inlineStr">
        <is>
          <t>Asfalt Schouw NOORD — 26 augustus 2026</t>
        </is>
      </c>
      <c r="X103" s="2" t="inlineStr">
        <is>
          <t>35/49</t>
        </is>
      </c>
      <c r="Y103" s="2" t="inlineStr">
        <is>
          <t>102-landsmeerderdijk.jpg</t>
        </is>
      </c>
      <c r="Z103" s="9" t="inlineStr">
        <is>
          <t>handgeschreven code "HB" in de kantlijn</t>
        </is>
      </c>
      <c r="AA103" s="9" t="inlineStr"/>
      <c r="AB103" s="2" t="inlineStr">
        <is>
          <t>SOK-AMS-LANDSMEERDERDIJK</t>
        </is>
      </c>
      <c r="AC103" s="2" t="inlineStr"/>
      <c r="AD103" s="2" t="n">
        <v>2</v>
      </c>
    </row>
    <row r="104">
      <c r="A104" s="2" t="inlineStr">
        <is>
          <t>SOK-AMS-2026-103</t>
        </is>
      </c>
      <c r="B104" s="2" t="inlineStr">
        <is>
          <t>Asfalt machinaal</t>
        </is>
      </c>
      <c r="C104" s="2" t="inlineStr">
        <is>
          <t>Landsmeerderdijk</t>
        </is>
      </c>
      <c r="D104" s="2" t="inlineStr">
        <is>
          <t>Kadoelen</t>
        </is>
      </c>
      <c r="E104" s="2" t="inlineStr">
        <is>
          <t>Landsmeerdijk nr. 67 11.45 x 2.50 + 2.40 x 1. 40</t>
        </is>
      </c>
      <c r="F104" s="2" t="inlineStr">
        <is>
          <t>11,45 × 2,50 m + 2,40 × 1,00 m  (samen 31,0 m²)</t>
        </is>
      </c>
      <c r="G104" s="2" t="n">
        <v>2</v>
      </c>
      <c r="H104" s="7" t="n">
        <v>13.85</v>
      </c>
      <c r="I104" s="7" t="n">
        <v>1</v>
      </c>
      <c r="J104" s="7" t="n">
        <v>31.02</v>
      </c>
      <c r="K104" s="2">
        <f>INDEX(Tarieven!$A$4:$E$7,MATCH($B104,Tarieven!$A$4:$A$7,0),2)</f>
        <v/>
      </c>
      <c r="L104" s="7">
        <f>IF($K104="plek",$G104,IF($K104="m1",$H104,$J104))</f>
        <v/>
      </c>
      <c r="M104" s="8">
        <f>INDEX(Tarieven!$A$4:$E$7,MATCH($B104,Tarieven!$A$4:$A$7,0),3)</f>
        <v/>
      </c>
      <c r="N104" s="8">
        <f>INDEX(Tarieven!$A$4:$E$7,MATCH($B104,Tarieven!$A$4:$A$7,0),4)</f>
        <v/>
      </c>
      <c r="O104" s="8">
        <f>IFERROR($L104*$M104,0)</f>
        <v/>
      </c>
      <c r="P104" s="8">
        <f>IFERROR($L104*$N104,0)</f>
        <v/>
      </c>
      <c r="Q104" s="2" t="inlineStr">
        <is>
          <t>normaal</t>
        </is>
      </c>
      <c r="R104" s="2" t="inlineStr">
        <is>
          <t>2026-07-27</t>
        </is>
      </c>
      <c r="S104" s="2" t="n">
        <v>31</v>
      </c>
      <c r="T104" s="2" t="n">
        <v>52.41415</v>
      </c>
      <c r="U104" s="2" t="n">
        <v>4.90053</v>
      </c>
      <c r="V104" s="2" t="inlineStr">
        <is>
          <t>Landsmeerderdijk 67, Amsterdam</t>
        </is>
      </c>
      <c r="W104" s="2" t="inlineStr">
        <is>
          <t>Asfalt Schouw NOORD — 26 augustus 2026</t>
        </is>
      </c>
      <c r="X104" s="2" t="inlineStr">
        <is>
          <t>35/49</t>
        </is>
      </c>
      <c r="Y104" s="2" t="inlineStr">
        <is>
          <t>103-landsmeerderdijk.jpg</t>
        </is>
      </c>
      <c r="Z104" s="9" t="inlineStr">
        <is>
          <t>handgeschreven code "AS" in de kantlijn</t>
        </is>
      </c>
      <c r="AA104" s="9" t="inlineStr"/>
      <c r="AB104" s="2" t="inlineStr">
        <is>
          <t>SOK-AMS-LANDSMEERDERDIJK</t>
        </is>
      </c>
      <c r="AC104" s="2" t="inlineStr"/>
      <c r="AD104" s="2" t="n">
        <v>2</v>
      </c>
    </row>
    <row r="105">
      <c r="A105" s="2" t="inlineStr">
        <is>
          <t>SOK-AMS-2026-104</t>
        </is>
      </c>
      <c r="B105" s="2" t="inlineStr">
        <is>
          <t>Asfalt machinaal</t>
        </is>
      </c>
      <c r="C105" s="2" t="inlineStr">
        <is>
          <t>Kadoelenweg</t>
        </is>
      </c>
      <c r="D105" s="2" t="inlineStr">
        <is>
          <t>Kadoelen</t>
        </is>
      </c>
      <c r="E105" s="2" t="inlineStr">
        <is>
          <t>Kadoelenweg nr, 193 42,60 x 0.100 foto 1 en 2</t>
        </is>
      </c>
      <c r="F105" s="2" t="inlineStr">
        <is>
          <t>42,60 × 0,10 m  (samen 4,3 m²)</t>
        </is>
      </c>
      <c r="G105" s="2" t="n">
        <v>1</v>
      </c>
      <c r="H105" s="7" t="n">
        <v>42.6</v>
      </c>
      <c r="I105" s="7" t="n">
        <v>0.1</v>
      </c>
      <c r="J105" s="7" t="n">
        <v>4.26</v>
      </c>
      <c r="K105" s="2">
        <f>INDEX(Tarieven!$A$4:$E$7,MATCH($B105,Tarieven!$A$4:$A$7,0),2)</f>
        <v/>
      </c>
      <c r="L105" s="7">
        <f>IF($K105="plek",$G105,IF($K105="m1",$H105,$J105))</f>
        <v/>
      </c>
      <c r="M105" s="8">
        <f>INDEX(Tarieven!$A$4:$E$7,MATCH($B105,Tarieven!$A$4:$A$7,0),3)</f>
        <v/>
      </c>
      <c r="N105" s="8">
        <f>INDEX(Tarieven!$A$4:$E$7,MATCH($B105,Tarieven!$A$4:$A$7,0),4)</f>
        <v/>
      </c>
      <c r="O105" s="8">
        <f>IFERROR($L105*$M105,0)</f>
        <v/>
      </c>
      <c r="P105" s="8">
        <f>IFERROR($L105*$N105,0)</f>
        <v/>
      </c>
      <c r="Q105" s="2" t="inlineStr">
        <is>
          <t>normaal</t>
        </is>
      </c>
      <c r="R105" s="2" t="inlineStr">
        <is>
          <t>2026-07-27</t>
        </is>
      </c>
      <c r="S105" s="2" t="n">
        <v>31</v>
      </c>
      <c r="T105" s="2" t="n">
        <v>52.41037</v>
      </c>
      <c r="U105" s="2" t="n">
        <v>4.9074</v>
      </c>
      <c r="V105" s="2" t="inlineStr">
        <is>
          <t>Kadoelenweg 243. Amsterdam</t>
        </is>
      </c>
      <c r="W105" s="2" t="inlineStr">
        <is>
          <t>Asfalt Schouw NOORD — 26 augustus 2026</t>
        </is>
      </c>
      <c r="X105" s="2" t="inlineStr">
        <is>
          <t>35/49</t>
        </is>
      </c>
      <c r="Y105" s="2" t="inlineStr">
        <is>
          <t>104-kadoelenweg.jpg</t>
        </is>
      </c>
      <c r="Z105" s="9" t="inlineStr">
        <is>
          <t>handgeschreven code "AS" in de kantlijn</t>
        </is>
      </c>
      <c r="AA105" s="9" t="inlineStr"/>
      <c r="AB105" s="2" t="inlineStr">
        <is>
          <t>SOK-AMS-KADOELENWEG</t>
        </is>
      </c>
      <c r="AC105" s="2" t="inlineStr"/>
      <c r="AD105" s="2" t="n">
        <v>2</v>
      </c>
    </row>
    <row r="106">
      <c r="A106" s="2" t="inlineStr">
        <is>
          <t>SOK-AMS-2026-105</t>
        </is>
      </c>
      <c r="B106" s="2" t="inlineStr">
        <is>
          <t>Asfalt – nog in te delen</t>
        </is>
      </c>
      <c r="C106" s="2" t="inlineStr">
        <is>
          <t>Kadoelenweg</t>
        </is>
      </c>
      <c r="D106" s="2" t="inlineStr">
        <is>
          <t>Kadoelen</t>
        </is>
      </c>
      <c r="E106" s="2" t="inlineStr">
        <is>
          <t>Kadoelenweg nr. 193 foto 1, 6.00 x 0.80 foto 2, 5.35 x 2.60. Foto 3, 3.65 x 1.40</t>
        </is>
      </c>
      <c r="F106" s="2" t="inlineStr">
        <is>
          <t>6,00 × 0,80 m + 5,35 × 2,60 m + 3,65 × 1,40 m  (samen 23,8 m²)</t>
        </is>
      </c>
      <c r="G106" s="2" t="n">
        <v>3</v>
      </c>
      <c r="H106" s="7" t="n">
        <v>15</v>
      </c>
      <c r="I106" s="7" t="n">
        <v>0.8</v>
      </c>
      <c r="J106" s="7" t="n">
        <v>23.82</v>
      </c>
      <c r="K106" s="2">
        <f>INDEX(Tarieven!$A$4:$E$7,MATCH($B106,Tarieven!$A$4:$A$7,0),2)</f>
        <v/>
      </c>
      <c r="L106" s="7">
        <f>IF($K106="plek",$G106,IF($K106="m1",$H106,$J106))</f>
        <v/>
      </c>
      <c r="M106" s="8">
        <f>INDEX(Tarieven!$A$4:$E$7,MATCH($B106,Tarieven!$A$4:$A$7,0),3)</f>
        <v/>
      </c>
      <c r="N106" s="8">
        <f>INDEX(Tarieven!$A$4:$E$7,MATCH($B106,Tarieven!$A$4:$A$7,0),4)</f>
        <v/>
      </c>
      <c r="O106" s="8">
        <f>IFERROR($L106*$M106,0)</f>
        <v/>
      </c>
      <c r="P106" s="8">
        <f>IFERROR($L106*$N106,0)</f>
        <v/>
      </c>
      <c r="Q106" s="2" t="inlineStr">
        <is>
          <t>normaal</t>
        </is>
      </c>
      <c r="R106" s="2" t="inlineStr">
        <is>
          <t>2026-07-27</t>
        </is>
      </c>
      <c r="S106" s="2" t="n">
        <v>31</v>
      </c>
      <c r="T106" s="2" t="n">
        <v>52.41018</v>
      </c>
      <c r="U106" s="2" t="n">
        <v>4.90675</v>
      </c>
      <c r="V106" s="2" t="inlineStr">
        <is>
          <t>Landsmeerderdijk 193, Amsterdam</t>
        </is>
      </c>
      <c r="W106" s="2" t="inlineStr">
        <is>
          <t>Asfalt Schouw NOORD — 26 augustus 2026</t>
        </is>
      </c>
      <c r="X106" s="2" t="inlineStr">
        <is>
          <t>36/49</t>
        </is>
      </c>
      <c r="Y106" s="2" t="inlineStr">
        <is>
          <t>105-kadoelenweg.jpg</t>
        </is>
      </c>
      <c r="Z106" s="9" t="inlineStr">
        <is>
          <t>geen code in de kantlijn en geen asfaltsoort in de tekst</t>
        </is>
      </c>
      <c r="AA106" s="9" t="inlineStr"/>
      <c r="AB106" s="2" t="inlineStr">
        <is>
          <t>SOK-AMS-KADOELENWEG</t>
        </is>
      </c>
      <c r="AC106" s="2" t="inlineStr"/>
      <c r="AD106" s="2" t="n">
        <v>3</v>
      </c>
    </row>
    <row r="107">
      <c r="A107" s="2" t="inlineStr">
        <is>
          <t>SOK-AMS-2026-106</t>
        </is>
      </c>
      <c r="B107" s="2" t="inlineStr">
        <is>
          <t>Hotbox werkzaamheden</t>
        </is>
      </c>
      <c r="C107" s="2" t="inlineStr">
        <is>
          <t>Kadoelenweg</t>
        </is>
      </c>
      <c r="D107" s="2" t="inlineStr">
        <is>
          <t>Asfalt Schades Heel Noord</t>
        </is>
      </c>
      <c r="E107" s="2" t="inlineStr">
        <is>
          <t>Kadoelenweg nr.193. 0.70 x 3.00</t>
        </is>
      </c>
      <c r="F107" s="2" t="inlineStr">
        <is>
          <t>3,00 × 0,70 m  (samen 2,1 m²)</t>
        </is>
      </c>
      <c r="G107" s="2" t="n">
        <v>1</v>
      </c>
      <c r="H107" s="7" t="n">
        <v>3</v>
      </c>
      <c r="I107" s="7" t="n">
        <v>0.7</v>
      </c>
      <c r="J107" s="7" t="n">
        <v>2.1</v>
      </c>
      <c r="K107" s="2">
        <f>INDEX(Tarieven!$A$4:$E$7,MATCH($B107,Tarieven!$A$4:$A$7,0),2)</f>
        <v/>
      </c>
      <c r="L107" s="7">
        <f>IF($K107="plek",$G107,IF($K107="m1",$H107,$J107))</f>
        <v/>
      </c>
      <c r="M107" s="8">
        <f>INDEX(Tarieven!$A$4:$E$7,MATCH($B107,Tarieven!$A$4:$A$7,0),3)</f>
        <v/>
      </c>
      <c r="N107" s="8">
        <f>INDEX(Tarieven!$A$4:$E$7,MATCH($B107,Tarieven!$A$4:$A$7,0),4)</f>
        <v/>
      </c>
      <c r="O107" s="8">
        <f>IFERROR($L107*$M107,0)</f>
        <v/>
      </c>
      <c r="P107" s="8">
        <f>IFERROR($L107*$N107,0)</f>
        <v/>
      </c>
      <c r="Q107" s="2" t="inlineStr">
        <is>
          <t>normaal</t>
        </is>
      </c>
      <c r="R107" s="2" t="inlineStr">
        <is>
          <t>2026-07-27</t>
        </is>
      </c>
      <c r="S107" s="2" t="n">
        <v>31</v>
      </c>
      <c r="T107" s="2" t="n">
        <v>52.41018</v>
      </c>
      <c r="U107" s="2" t="n">
        <v>4.90675</v>
      </c>
      <c r="V107" s="2" t="inlineStr">
        <is>
          <t>Landsmeerderdijk 193. Amsterdam</t>
        </is>
      </c>
      <c r="W107" s="2" t="inlineStr">
        <is>
          <t>Asfalt Schouw NOORD — 26 augustus 2026</t>
        </is>
      </c>
      <c r="X107" s="2" t="inlineStr">
        <is>
          <t>36/49</t>
        </is>
      </c>
      <c r="Y107" s="2" t="inlineStr">
        <is>
          <t>106-kadoelenweg.jpg</t>
        </is>
      </c>
      <c r="Z107" s="9" t="inlineStr">
        <is>
          <t>handgeschreven code "HB" in de kantlijn</t>
        </is>
      </c>
      <c r="AA107" s="9" t="inlineStr"/>
      <c r="AB107" s="2" t="inlineStr">
        <is>
          <t>SOK-AMS-KADOELENWEG</t>
        </is>
      </c>
      <c r="AC107" s="2" t="inlineStr"/>
      <c r="AD107" s="2" t="n">
        <v>1</v>
      </c>
    </row>
    <row r="108">
      <c r="A108" s="2" t="inlineStr">
        <is>
          <t>SOK-AMS-2026-107</t>
        </is>
      </c>
      <c r="B108" s="2" t="inlineStr">
        <is>
          <t>Asfalt machinaal</t>
        </is>
      </c>
      <c r="C108" s="2" t="inlineStr">
        <is>
          <t>Kadoelenweg</t>
        </is>
      </c>
      <c r="D108" s="2" t="inlineStr">
        <is>
          <t>Kadoelen</t>
        </is>
      </c>
      <c r="E108" s="2" t="inlineStr">
        <is>
          <t>Kadoelenweg nr. 245 foto 1. 2.80 x 85. Foto 2. 7.30 x 1.75</t>
        </is>
      </c>
      <c r="F108" s="2" t="inlineStr">
        <is>
          <t>7,30 × 1,75 m  (samen 12,8 m²)</t>
        </is>
      </c>
      <c r="G108" s="2" t="n">
        <v>1</v>
      </c>
      <c r="H108" s="7" t="n">
        <v>7.3</v>
      </c>
      <c r="I108" s="7" t="n">
        <v>1.75</v>
      </c>
      <c r="J108" s="7" t="n">
        <v>12.78</v>
      </c>
      <c r="K108" s="2">
        <f>INDEX(Tarieven!$A$4:$E$7,MATCH($B108,Tarieven!$A$4:$A$7,0),2)</f>
        <v/>
      </c>
      <c r="L108" s="7">
        <f>IF($K108="plek",$G108,IF($K108="m1",$H108,$J108))</f>
        <v/>
      </c>
      <c r="M108" s="8">
        <f>INDEX(Tarieven!$A$4:$E$7,MATCH($B108,Tarieven!$A$4:$A$7,0),3)</f>
        <v/>
      </c>
      <c r="N108" s="8">
        <f>INDEX(Tarieven!$A$4:$E$7,MATCH($B108,Tarieven!$A$4:$A$7,0),4)</f>
        <v/>
      </c>
      <c r="O108" s="8">
        <f>IFERROR($L108*$M108,0)</f>
        <v/>
      </c>
      <c r="P108" s="8">
        <f>IFERROR($L108*$N108,0)</f>
        <v/>
      </c>
      <c r="Q108" s="2" t="inlineStr">
        <is>
          <t>normaal</t>
        </is>
      </c>
      <c r="R108" s="2" t="inlineStr">
        <is>
          <t>2026-07-27</t>
        </is>
      </c>
      <c r="S108" s="2" t="n">
        <v>31</v>
      </c>
      <c r="T108" s="2" t="n">
        <v>52.41016</v>
      </c>
      <c r="U108" s="2" t="n">
        <v>4.90731</v>
      </c>
      <c r="V108" s="2" t="inlineStr">
        <is>
          <t>Kadoelenweg 245, Amsterdam</t>
        </is>
      </c>
      <c r="W108" s="2" t="inlineStr">
        <is>
          <t>Asfalt Schouw NOORD — 26 augustus 2026</t>
        </is>
      </c>
      <c r="X108" s="2" t="inlineStr">
        <is>
          <t>36/49</t>
        </is>
      </c>
      <c r="Y108" s="2" t="inlineStr">
        <is>
          <t>107-kadoelenweg.jpg</t>
        </is>
      </c>
      <c r="Z108" s="9" t="inlineStr">
        <is>
          <t>handgeschreven code "AS" in de kantlijn</t>
        </is>
      </c>
      <c r="AA108" s="9" t="inlineStr"/>
      <c r="AB108" s="2" t="inlineStr">
        <is>
          <t>SOK-AMS-KADOELENWEG</t>
        </is>
      </c>
      <c r="AC108" s="2" t="inlineStr"/>
      <c r="AD108" s="2" t="n">
        <v>2</v>
      </c>
    </row>
    <row r="109">
      <c r="A109" s="2" t="inlineStr">
        <is>
          <t>SOK-AMS-2026-108</t>
        </is>
      </c>
      <c r="B109" s="2" t="inlineStr">
        <is>
          <t>Hotbox werkzaamheden</t>
        </is>
      </c>
      <c r="C109" s="2" t="inlineStr">
        <is>
          <t>Kadoelenweg</t>
        </is>
      </c>
      <c r="D109" s="2" t="inlineStr">
        <is>
          <t>Kadoelen</t>
        </is>
      </c>
      <c r="E109" s="2" t="inlineStr">
        <is>
          <t>Kadoelenweg t/o nr. 382 foto 1. 2.10 x 2.00 foto 2. 1.10 x 1.80</t>
        </is>
      </c>
      <c r="F109" s="2" t="inlineStr">
        <is>
          <t>2,10 × 2,00 m + 1,80 × 1,10 m  (samen 6,2 m²)</t>
        </is>
      </c>
      <c r="G109" s="2" t="n">
        <v>2</v>
      </c>
      <c r="H109" s="7" t="n">
        <v>3.9</v>
      </c>
      <c r="I109" s="7" t="n">
        <v>1.1</v>
      </c>
      <c r="J109" s="7" t="n">
        <v>6.18</v>
      </c>
      <c r="K109" s="2">
        <f>INDEX(Tarieven!$A$4:$E$7,MATCH($B109,Tarieven!$A$4:$A$7,0),2)</f>
        <v/>
      </c>
      <c r="L109" s="7">
        <f>IF($K109="plek",$G109,IF($K109="m1",$H109,$J109))</f>
        <v/>
      </c>
      <c r="M109" s="8">
        <f>INDEX(Tarieven!$A$4:$E$7,MATCH($B109,Tarieven!$A$4:$A$7,0),3)</f>
        <v/>
      </c>
      <c r="N109" s="8">
        <f>INDEX(Tarieven!$A$4:$E$7,MATCH($B109,Tarieven!$A$4:$A$7,0),4)</f>
        <v/>
      </c>
      <c r="O109" s="8">
        <f>IFERROR($L109*$M109,0)</f>
        <v/>
      </c>
      <c r="P109" s="8">
        <f>IFERROR($L109*$N109,0)</f>
        <v/>
      </c>
      <c r="Q109" s="2" t="inlineStr">
        <is>
          <t>normaal</t>
        </is>
      </c>
      <c r="R109" s="2" t="inlineStr">
        <is>
          <t>2026-07-27</t>
        </is>
      </c>
      <c r="S109" s="2" t="n">
        <v>31</v>
      </c>
      <c r="T109" s="2" t="n">
        <v>52.41042</v>
      </c>
      <c r="U109" s="2" t="n">
        <v>4.90743</v>
      </c>
      <c r="V109" s="2" t="inlineStr">
        <is>
          <t>Kadoelenweg 241, Amsterdam</t>
        </is>
      </c>
      <c r="W109" s="2" t="inlineStr">
        <is>
          <t>Asfalt Schouw NOORD — 26 augustus 2026</t>
        </is>
      </c>
      <c r="X109" s="2" t="inlineStr">
        <is>
          <t>37/49</t>
        </is>
      </c>
      <c r="Y109" s="2" t="inlineStr">
        <is>
          <t>108-kadoelenweg.jpg</t>
        </is>
      </c>
      <c r="Z109" s="9" t="inlineStr">
        <is>
          <t>handgeschreven code "HB" in de kantlijn</t>
        </is>
      </c>
      <c r="AA109" s="9" t="inlineStr"/>
      <c r="AB109" s="2" t="inlineStr">
        <is>
          <t>SOK-AMS-KADOELENWEG</t>
        </is>
      </c>
      <c r="AC109" s="2" t="inlineStr"/>
      <c r="AD109" s="2" t="n">
        <v>2</v>
      </c>
    </row>
    <row r="110">
      <c r="A110" s="2" t="inlineStr">
        <is>
          <t>SOK-AMS-2026-109</t>
        </is>
      </c>
      <c r="B110" s="2" t="inlineStr">
        <is>
          <t>Hotbox werkzaamheden</t>
        </is>
      </c>
      <c r="C110" s="2" t="inlineStr">
        <is>
          <t>Kadoelenweg</t>
        </is>
      </c>
      <c r="D110" s="2" t="inlineStr">
        <is>
          <t>Kadoelen</t>
        </is>
      </c>
      <c r="E110" s="2" t="inlineStr">
        <is>
          <t>Kadoelenweg nr. 231. 4.00 x 1.40 + 1.80 x 2.00</t>
        </is>
      </c>
      <c r="F110" s="2" t="inlineStr">
        <is>
          <t>4,00 × 1,40 m + 2,00 × 1,80 m  (samen 9,2 m²)</t>
        </is>
      </c>
      <c r="G110" s="2" t="n">
        <v>2</v>
      </c>
      <c r="H110" s="7" t="n">
        <v>6</v>
      </c>
      <c r="I110" s="7" t="n">
        <v>1.4</v>
      </c>
      <c r="J110" s="7" t="n">
        <v>9.199999999999999</v>
      </c>
      <c r="K110" s="2">
        <f>INDEX(Tarieven!$A$4:$E$7,MATCH($B110,Tarieven!$A$4:$A$7,0),2)</f>
        <v/>
      </c>
      <c r="L110" s="7">
        <f>IF($K110="plek",$G110,IF($K110="m1",$H110,$J110))</f>
        <v/>
      </c>
      <c r="M110" s="8">
        <f>INDEX(Tarieven!$A$4:$E$7,MATCH($B110,Tarieven!$A$4:$A$7,0),3)</f>
        <v/>
      </c>
      <c r="N110" s="8">
        <f>INDEX(Tarieven!$A$4:$E$7,MATCH($B110,Tarieven!$A$4:$A$7,0),4)</f>
        <v/>
      </c>
      <c r="O110" s="8">
        <f>IFERROR($L110*$M110,0)</f>
        <v/>
      </c>
      <c r="P110" s="8">
        <f>IFERROR($L110*$N110,0)</f>
        <v/>
      </c>
      <c r="Q110" s="2" t="inlineStr">
        <is>
          <t>normaal</t>
        </is>
      </c>
      <c r="R110" s="2" t="inlineStr">
        <is>
          <t>2026-07-27</t>
        </is>
      </c>
      <c r="S110" s="2" t="n">
        <v>31</v>
      </c>
      <c r="T110" s="2" t="n">
        <v>52.41086</v>
      </c>
      <c r="U110" s="2" t="n">
        <v>4.90787</v>
      </c>
      <c r="V110" s="2" t="inlineStr">
        <is>
          <t>Kadoelenweg 231, Amsterdam</t>
        </is>
      </c>
      <c r="W110" s="2" t="inlineStr">
        <is>
          <t>Asfalt Schouw NOORD — 26 augustus 2026</t>
        </is>
      </c>
      <c r="X110" s="2" t="inlineStr">
        <is>
          <t>37/49</t>
        </is>
      </c>
      <c r="Y110" s="2" t="inlineStr">
        <is>
          <t>109-kadoelenweg.jpg</t>
        </is>
      </c>
      <c r="Z110" s="9" t="inlineStr">
        <is>
          <t>handgeschreven code "HB" in de kantlijn</t>
        </is>
      </c>
      <c r="AA110" s="9" t="inlineStr"/>
      <c r="AB110" s="2" t="inlineStr">
        <is>
          <t>SOK-AMS-KADOELENWEG</t>
        </is>
      </c>
      <c r="AC110" s="2" t="inlineStr"/>
      <c r="AD110" s="2" t="n">
        <v>2</v>
      </c>
    </row>
    <row r="111">
      <c r="A111" s="2" t="inlineStr">
        <is>
          <t>SOK-AMS-2026-110</t>
        </is>
      </c>
      <c r="B111" s="2" t="inlineStr">
        <is>
          <t>Asfalt machinaal</t>
        </is>
      </c>
      <c r="C111" s="2" t="inlineStr">
        <is>
          <t>Kadoelenweg</t>
        </is>
      </c>
      <c r="D111" s="2" t="inlineStr">
        <is>
          <t>Kadoelen</t>
        </is>
      </c>
      <c r="E111" s="2" t="inlineStr">
        <is>
          <t>Kadoelenweg nr. 366 foto 1 6.80 x 3.65. Foto 2 12.45 x 1.20. Foto 3 2.30 x 1.20</t>
        </is>
      </c>
      <c r="F111" s="2" t="inlineStr">
        <is>
          <t>6,80 × 3,65 m + 12,45 × 1,20 m + 2,30 × 1,20 m  (samen 42,5 m²)</t>
        </is>
      </c>
      <c r="G111" s="2" t="n">
        <v>3</v>
      </c>
      <c r="H111" s="7" t="n">
        <v>21.55</v>
      </c>
      <c r="I111" s="7" t="n">
        <v>1.2</v>
      </c>
      <c r="J111" s="7" t="n">
        <v>42.52</v>
      </c>
      <c r="K111" s="2">
        <f>INDEX(Tarieven!$A$4:$E$7,MATCH($B111,Tarieven!$A$4:$A$7,0),2)</f>
        <v/>
      </c>
      <c r="L111" s="7">
        <f>IF($K111="plek",$G111,IF($K111="m1",$H111,$J111))</f>
        <v/>
      </c>
      <c r="M111" s="8">
        <f>INDEX(Tarieven!$A$4:$E$7,MATCH($B111,Tarieven!$A$4:$A$7,0),3)</f>
        <v/>
      </c>
      <c r="N111" s="8">
        <f>INDEX(Tarieven!$A$4:$E$7,MATCH($B111,Tarieven!$A$4:$A$7,0),4)</f>
        <v/>
      </c>
      <c r="O111" s="8">
        <f>IFERROR($L111*$M111,0)</f>
        <v/>
      </c>
      <c r="P111" s="8">
        <f>IFERROR($L111*$N111,0)</f>
        <v/>
      </c>
      <c r="Q111" s="2" t="inlineStr">
        <is>
          <t>normaal</t>
        </is>
      </c>
      <c r="R111" s="2" t="inlineStr">
        <is>
          <t>2026-07-27</t>
        </is>
      </c>
      <c r="S111" s="2" t="n">
        <v>31</v>
      </c>
      <c r="T111" s="2" t="n">
        <v>52.41139</v>
      </c>
      <c r="U111" s="2" t="n">
        <v>4.90767</v>
      </c>
      <c r="V111" s="2" t="inlineStr">
        <is>
          <t>Kadoelenweg 366. Amsterdam</t>
        </is>
      </c>
      <c r="W111" s="2" t="inlineStr">
        <is>
          <t>Asfalt Schouw NOORD — 26 augustus 2026</t>
        </is>
      </c>
      <c r="X111" s="2" t="inlineStr">
        <is>
          <t>37/49</t>
        </is>
      </c>
      <c r="Y111" s="2" t="inlineStr">
        <is>
          <t>110-kadoelenweg.jpg</t>
        </is>
      </c>
      <c r="Z111" s="9" t="inlineStr">
        <is>
          <t>handgeschreven code "AS" in de kantlijn</t>
        </is>
      </c>
      <c r="AA111" s="9" t="inlineStr"/>
      <c r="AB111" s="2" t="inlineStr">
        <is>
          <t>SOK-AMS-KADOELENWEG</t>
        </is>
      </c>
      <c r="AC111" s="2" t="inlineStr"/>
      <c r="AD111" s="2" t="n">
        <v>3</v>
      </c>
    </row>
    <row r="112">
      <c r="A112" s="2" t="inlineStr">
        <is>
          <t>SOK-AMS-2026-111</t>
        </is>
      </c>
      <c r="B112" s="2" t="inlineStr">
        <is>
          <t>Hotbox werkzaamheden</t>
        </is>
      </c>
      <c r="C112" s="2" t="inlineStr">
        <is>
          <t>Kadoelenweg</t>
        </is>
      </c>
      <c r="D112" s="2" t="inlineStr">
        <is>
          <t>Kadoelen</t>
        </is>
      </c>
      <c r="E112" s="2" t="inlineStr">
        <is>
          <t>Kadoelenweg nr 221 7.70 x 1.10 + 0.70 x 0.70</t>
        </is>
      </c>
      <c r="F112" s="2" t="inlineStr">
        <is>
          <t>7,70 × 1,10 m + 0,70 × 0,70 m  (samen 9,0 m²)</t>
        </is>
      </c>
      <c r="G112" s="2" t="n">
        <v>2</v>
      </c>
      <c r="H112" s="7" t="n">
        <v>8.4</v>
      </c>
      <c r="I112" s="7" t="n">
        <v>0.7</v>
      </c>
      <c r="J112" s="7" t="n">
        <v>8.960000000000001</v>
      </c>
      <c r="K112" s="2">
        <f>INDEX(Tarieven!$A$4:$E$7,MATCH($B112,Tarieven!$A$4:$A$7,0),2)</f>
        <v/>
      </c>
      <c r="L112" s="7">
        <f>IF($K112="plek",$G112,IF($K112="m1",$H112,$J112))</f>
        <v/>
      </c>
      <c r="M112" s="8">
        <f>INDEX(Tarieven!$A$4:$E$7,MATCH($B112,Tarieven!$A$4:$A$7,0),3)</f>
        <v/>
      </c>
      <c r="N112" s="8">
        <f>INDEX(Tarieven!$A$4:$E$7,MATCH($B112,Tarieven!$A$4:$A$7,0),4)</f>
        <v/>
      </c>
      <c r="O112" s="8">
        <f>IFERROR($L112*$M112,0)</f>
        <v/>
      </c>
      <c r="P112" s="8">
        <f>IFERROR($L112*$N112,0)</f>
        <v/>
      </c>
      <c r="Q112" s="2" t="inlineStr">
        <is>
          <t>normaal</t>
        </is>
      </c>
      <c r="R112" s="2" t="inlineStr">
        <is>
          <t>2026-07-27</t>
        </is>
      </c>
      <c r="S112" s="2" t="n">
        <v>31</v>
      </c>
      <c r="T112" s="2" t="n">
        <v>52.41115</v>
      </c>
      <c r="U112" s="2" t="n">
        <v>4.90746</v>
      </c>
      <c r="V112" s="2" t="inlineStr">
        <is>
          <t>Kadoelenweg 370, Amsterdam</t>
        </is>
      </c>
      <c r="W112" s="2" t="inlineStr">
        <is>
          <t>Asfalt Schouw NOORD — 26 augustus 2026</t>
        </is>
      </c>
      <c r="X112" s="2" t="inlineStr">
        <is>
          <t>38/49</t>
        </is>
      </c>
      <c r="Y112" s="2" t="inlineStr">
        <is>
          <t>111-kadoelenweg.jpg</t>
        </is>
      </c>
      <c r="Z112" s="9" t="inlineStr">
        <is>
          <t>handgeschreven code "HB" in de kantlijn</t>
        </is>
      </c>
      <c r="AA112" s="9" t="inlineStr"/>
      <c r="AB112" s="2" t="inlineStr">
        <is>
          <t>SOK-AMS-KADOELENWEG</t>
        </is>
      </c>
      <c r="AC112" s="2" t="inlineStr"/>
      <c r="AD112" s="2" t="n">
        <v>2</v>
      </c>
    </row>
    <row r="113">
      <c r="A113" s="2" t="inlineStr">
        <is>
          <t>SOK-AMS-2026-112</t>
        </is>
      </c>
      <c r="B113" s="2" t="inlineStr">
        <is>
          <t>Hotbox werkzaamheden</t>
        </is>
      </c>
      <c r="C113" s="2" t="inlineStr">
        <is>
          <t>Kadoelenweg</t>
        </is>
      </c>
      <c r="D113" s="2" t="inlineStr">
        <is>
          <t>Kadoelen</t>
        </is>
      </c>
      <c r="E113" s="2" t="inlineStr">
        <is>
          <t>Kadoelenweg nr. 221 foto 1 6.70 x 0.40 foto 2. 4.10 x 1.95. Foto 3. 5.10 x 0.90</t>
        </is>
      </c>
      <c r="F113" s="2" t="inlineStr">
        <is>
          <t>6,70 × 0,40 m + 4,10 × 1,95 m + 5,10 × 0,90 m  (samen 15,3 m²)</t>
        </is>
      </c>
      <c r="G113" s="2" t="n">
        <v>3</v>
      </c>
      <c r="H113" s="7" t="n">
        <v>15.9</v>
      </c>
      <c r="I113" s="7" t="n">
        <v>0.4</v>
      </c>
      <c r="J113" s="7" t="n">
        <v>15.26</v>
      </c>
      <c r="K113" s="2">
        <f>INDEX(Tarieven!$A$4:$E$7,MATCH($B113,Tarieven!$A$4:$A$7,0),2)</f>
        <v/>
      </c>
      <c r="L113" s="7">
        <f>IF($K113="plek",$G113,IF($K113="m1",$H113,$J113))</f>
        <v/>
      </c>
      <c r="M113" s="8">
        <f>INDEX(Tarieven!$A$4:$E$7,MATCH($B113,Tarieven!$A$4:$A$7,0),3)</f>
        <v/>
      </c>
      <c r="N113" s="8">
        <f>INDEX(Tarieven!$A$4:$E$7,MATCH($B113,Tarieven!$A$4:$A$7,0),4)</f>
        <v/>
      </c>
      <c r="O113" s="8">
        <f>IFERROR($L113*$M113,0)</f>
        <v/>
      </c>
      <c r="P113" s="8">
        <f>IFERROR($L113*$N113,0)</f>
        <v/>
      </c>
      <c r="Q113" s="2" t="inlineStr">
        <is>
          <t>normaal</t>
        </is>
      </c>
      <c r="R113" s="2" t="inlineStr">
        <is>
          <t>2026-07-27</t>
        </is>
      </c>
      <c r="S113" s="2" t="n">
        <v>31</v>
      </c>
      <c r="T113" s="2" t="n">
        <v>52.41162</v>
      </c>
      <c r="U113" s="2" t="n">
        <v>4.9079</v>
      </c>
      <c r="V113" s="2" t="inlineStr">
        <is>
          <t>Kadoelenweg 358A, Amsterdam</t>
        </is>
      </c>
      <c r="W113" s="2" t="inlineStr">
        <is>
          <t>Asfalt Schouw NOORD — 26 augustus 2026</t>
        </is>
      </c>
      <c r="X113" s="2" t="inlineStr">
        <is>
          <t>38/49</t>
        </is>
      </c>
      <c r="Y113" s="2" t="inlineStr">
        <is>
          <t>112-kadoelenweg.jpg</t>
        </is>
      </c>
      <c r="Z113" s="9" t="inlineStr">
        <is>
          <t>handgeschreven code "HB" in de kantlijn</t>
        </is>
      </c>
      <c r="AA113" s="9" t="inlineStr"/>
      <c r="AB113" s="2" t="inlineStr">
        <is>
          <t>SOK-AMS-KADOELENWEG</t>
        </is>
      </c>
      <c r="AC113" s="2" t="inlineStr"/>
      <c r="AD113" s="2" t="n">
        <v>3</v>
      </c>
    </row>
    <row r="114">
      <c r="A114" s="2" t="inlineStr">
        <is>
          <t>SOK-AMS-2026-113</t>
        </is>
      </c>
      <c r="B114" s="2" t="inlineStr">
        <is>
          <t>Hotbox werkzaamheden</t>
        </is>
      </c>
      <c r="C114" s="2" t="inlineStr">
        <is>
          <t>Kadoelenweg</t>
        </is>
      </c>
      <c r="D114" s="2" t="inlineStr">
        <is>
          <t>Kadoelen</t>
        </is>
      </c>
      <c r="E114" s="2" t="inlineStr">
        <is>
          <t>Kadoelenweg nr. 358. 1.40 x 0.70</t>
        </is>
      </c>
      <c r="F114" s="2" t="inlineStr">
        <is>
          <t>1,40 × 0,70 m  (samen 1,0 m²)</t>
        </is>
      </c>
      <c r="G114" s="2" t="n">
        <v>1</v>
      </c>
      <c r="H114" s="7" t="n">
        <v>1.4</v>
      </c>
      <c r="I114" s="7" t="n">
        <v>0.7</v>
      </c>
      <c r="J114" s="7" t="n">
        <v>0.98</v>
      </c>
      <c r="K114" s="2">
        <f>INDEX(Tarieven!$A$4:$E$7,MATCH($B114,Tarieven!$A$4:$A$7,0),2)</f>
        <v/>
      </c>
      <c r="L114" s="7">
        <f>IF($K114="plek",$G114,IF($K114="m1",$H114,$J114))</f>
        <v/>
      </c>
      <c r="M114" s="8">
        <f>INDEX(Tarieven!$A$4:$E$7,MATCH($B114,Tarieven!$A$4:$A$7,0),3)</f>
        <v/>
      </c>
      <c r="N114" s="8">
        <f>INDEX(Tarieven!$A$4:$E$7,MATCH($B114,Tarieven!$A$4:$A$7,0),4)</f>
        <v/>
      </c>
      <c r="O114" s="8">
        <f>IFERROR($L114*$M114,0)</f>
        <v/>
      </c>
      <c r="P114" s="8">
        <f>IFERROR($L114*$N114,0)</f>
        <v/>
      </c>
      <c r="Q114" s="2" t="inlineStr">
        <is>
          <t>normaal</t>
        </is>
      </c>
      <c r="R114" s="2" t="inlineStr">
        <is>
          <t>2026-07-27</t>
        </is>
      </c>
      <c r="S114" s="2" t="n">
        <v>31</v>
      </c>
      <c r="T114" s="2" t="n">
        <v>52.41188</v>
      </c>
      <c r="U114" s="2" t="n">
        <v>4.90793</v>
      </c>
      <c r="V114" s="2" t="inlineStr">
        <is>
          <t>Kadoelenweg 356, Amsterdam</t>
        </is>
      </c>
      <c r="W114" s="2" t="inlineStr">
        <is>
          <t>Asfalt Schouw NOORD — 26 augustus 2026</t>
        </is>
      </c>
      <c r="X114" s="2" t="inlineStr">
        <is>
          <t>38/49</t>
        </is>
      </c>
      <c r="Y114" s="2" t="inlineStr">
        <is>
          <t>113-kadoelenweg.jpg</t>
        </is>
      </c>
      <c r="Z114" s="9" t="inlineStr">
        <is>
          <t>handgeschreven code "HB" in de kantlijn</t>
        </is>
      </c>
      <c r="AA114" s="9" t="inlineStr"/>
      <c r="AB114" s="2" t="inlineStr">
        <is>
          <t>SOK-AMS-KADOELENWEG</t>
        </is>
      </c>
      <c r="AC114" s="2" t="inlineStr"/>
      <c r="AD114" s="2" t="n">
        <v>1</v>
      </c>
    </row>
    <row r="115">
      <c r="A115" s="2" t="inlineStr">
        <is>
          <t>SOK-AMS-2026-114</t>
        </is>
      </c>
      <c r="B115" s="2" t="inlineStr">
        <is>
          <t>Hotbox werkzaamheden</t>
        </is>
      </c>
      <c r="C115" s="2" t="inlineStr">
        <is>
          <t>Kadoelenweg</t>
        </is>
      </c>
      <c r="D115" s="2" t="inlineStr">
        <is>
          <t>Kadoelen</t>
        </is>
      </c>
      <c r="E115" s="2" t="inlineStr">
        <is>
          <t>Kadoelenweg nr. 356a 3.40 x 2.70 + 0.60 x 0.70</t>
        </is>
      </c>
      <c r="F115" s="2" t="inlineStr">
        <is>
          <t>3,40 × 2,70 m + 0,70 × 0,60 m  (samen 9,6 m²)</t>
        </is>
      </c>
      <c r="G115" s="2" t="n">
        <v>2</v>
      </c>
      <c r="H115" s="7" t="n">
        <v>4.1</v>
      </c>
      <c r="I115" s="7" t="n">
        <v>0.6</v>
      </c>
      <c r="J115" s="7" t="n">
        <v>9.6</v>
      </c>
      <c r="K115" s="2">
        <f>INDEX(Tarieven!$A$4:$E$7,MATCH($B115,Tarieven!$A$4:$A$7,0),2)</f>
        <v/>
      </c>
      <c r="L115" s="7">
        <f>IF($K115="plek",$G115,IF($K115="m1",$H115,$J115))</f>
        <v/>
      </c>
      <c r="M115" s="8">
        <f>INDEX(Tarieven!$A$4:$E$7,MATCH($B115,Tarieven!$A$4:$A$7,0),3)</f>
        <v/>
      </c>
      <c r="N115" s="8">
        <f>INDEX(Tarieven!$A$4:$E$7,MATCH($B115,Tarieven!$A$4:$A$7,0),4)</f>
        <v/>
      </c>
      <c r="O115" s="8">
        <f>IFERROR($L115*$M115,0)</f>
        <v/>
      </c>
      <c r="P115" s="8">
        <f>IFERROR($L115*$N115,0)</f>
        <v/>
      </c>
      <c r="Q115" s="2" t="inlineStr">
        <is>
          <t>normaal</t>
        </is>
      </c>
      <c r="R115" s="2" t="inlineStr">
        <is>
          <t>2026-07-27</t>
        </is>
      </c>
      <c r="S115" s="2" t="n">
        <v>31</v>
      </c>
      <c r="T115" s="2" t="n">
        <v>52.41214</v>
      </c>
      <c r="U115" s="2" t="n">
        <v>4.90838</v>
      </c>
      <c r="V115" s="2" t="inlineStr">
        <is>
          <t>Kadoelenweg 217, Amsterdam</t>
        </is>
      </c>
      <c r="W115" s="2" t="inlineStr">
        <is>
          <t>Asfalt Schouw NOORD — 26 augustus 2026</t>
        </is>
      </c>
      <c r="X115" s="2" t="inlineStr">
        <is>
          <t>39/49</t>
        </is>
      </c>
      <c r="Y115" s="2" t="inlineStr">
        <is>
          <t>114-kadoelenweg.jpg</t>
        </is>
      </c>
      <c r="Z115" s="9" t="inlineStr">
        <is>
          <t>handgeschreven code "HB" in de kantlijn</t>
        </is>
      </c>
      <c r="AA115" s="9" t="inlineStr"/>
      <c r="AB115" s="2" t="inlineStr">
        <is>
          <t>SOK-AMS-KADOELENWEG</t>
        </is>
      </c>
      <c r="AC115" s="2" t="inlineStr"/>
      <c r="AD115" s="2" t="n">
        <v>2</v>
      </c>
    </row>
    <row r="116">
      <c r="A116" s="2" t="inlineStr">
        <is>
          <t>SOK-AMS-2026-115</t>
        </is>
      </c>
      <c r="B116" s="2" t="inlineStr">
        <is>
          <t>Hotbox werkzaamheden</t>
        </is>
      </c>
      <c r="C116" s="2" t="inlineStr">
        <is>
          <t>Kadoelenweg</t>
        </is>
      </c>
      <c r="D116" s="2" t="inlineStr">
        <is>
          <t>Kadoelen</t>
        </is>
      </c>
      <c r="E116" s="2" t="inlineStr">
        <is>
          <t>Kadoelenweg nr. 46 foto 1 7.00 x 0.70. Foto 2 1.75 x 3.00. Foto 3. 1.30 x 1.30</t>
        </is>
      </c>
      <c r="F116" s="2" t="inlineStr">
        <is>
          <t>7,00 × 0,70 m + 3,00 × 1,75 m + 1,30 × 1,30 m  (samen 11,8 m²)</t>
        </is>
      </c>
      <c r="G116" s="2" t="n">
        <v>3</v>
      </c>
      <c r="H116" s="7" t="n">
        <v>11.3</v>
      </c>
      <c r="I116" s="7" t="n">
        <v>0.7</v>
      </c>
      <c r="J116" s="7" t="n">
        <v>11.84</v>
      </c>
      <c r="K116" s="2">
        <f>INDEX(Tarieven!$A$4:$E$7,MATCH($B116,Tarieven!$A$4:$A$7,0),2)</f>
        <v/>
      </c>
      <c r="L116" s="7">
        <f>IF($K116="plek",$G116,IF($K116="m1",$H116,$J116))</f>
        <v/>
      </c>
      <c r="M116" s="8">
        <f>INDEX(Tarieven!$A$4:$E$7,MATCH($B116,Tarieven!$A$4:$A$7,0),3)</f>
        <v/>
      </c>
      <c r="N116" s="8">
        <f>INDEX(Tarieven!$A$4:$E$7,MATCH($B116,Tarieven!$A$4:$A$7,0),4)</f>
        <v/>
      </c>
      <c r="O116" s="8">
        <f>IFERROR($L116*$M116,0)</f>
        <v/>
      </c>
      <c r="P116" s="8">
        <f>IFERROR($L116*$N116,0)</f>
        <v/>
      </c>
      <c r="Q116" s="2" t="inlineStr">
        <is>
          <t>normaal</t>
        </is>
      </c>
      <c r="R116" s="2" t="inlineStr">
        <is>
          <t>2026-07-28</t>
        </is>
      </c>
      <c r="S116" s="2" t="n">
        <v>31</v>
      </c>
      <c r="T116" s="2" t="n">
        <v>52.41279</v>
      </c>
      <c r="U116" s="2" t="n">
        <v>4.90773</v>
      </c>
      <c r="V116" s="2" t="inlineStr">
        <is>
          <t>Kadoelenweg 344, Amsterdam</t>
        </is>
      </c>
      <c r="W116" s="2" t="inlineStr">
        <is>
          <t>Asfalt Schouw NOORD — 26 augustus 2026</t>
        </is>
      </c>
      <c r="X116" s="2" t="inlineStr">
        <is>
          <t>39/49</t>
        </is>
      </c>
      <c r="Y116" s="2" t="inlineStr">
        <is>
          <t>115-kadoelenweg.jpg</t>
        </is>
      </c>
      <c r="Z116" s="9" t="inlineStr">
        <is>
          <t>handgeschreven code "HB" in de kantlijn</t>
        </is>
      </c>
      <c r="AA116" s="9" t="inlineStr"/>
      <c r="AB116" s="2" t="inlineStr">
        <is>
          <t>SOK-AMS-KADOELENWEG</t>
        </is>
      </c>
      <c r="AC116" s="2" t="inlineStr"/>
      <c r="AD116" s="2" t="n">
        <v>3</v>
      </c>
    </row>
    <row r="117">
      <c r="A117" s="2" t="inlineStr">
        <is>
          <t>SOK-AMS-2026-116</t>
        </is>
      </c>
      <c r="B117" s="2" t="inlineStr">
        <is>
          <t>Asfalt machinaal</t>
        </is>
      </c>
      <c r="C117" s="2" t="inlineStr">
        <is>
          <t>Kadoelenweg</t>
        </is>
      </c>
      <c r="D117" s="2" t="inlineStr">
        <is>
          <t>Kadoelen</t>
        </is>
      </c>
      <c r="E117" s="2" t="inlineStr">
        <is>
          <t>Kadoelenweg nr. 320 t/m 310. Foto 1 2 80 x 1.x 1.60. Foto 2 6.00 x1.50. Foto 3 3.80 x 2.20. Foto 4. 5.00 x 1.40</t>
        </is>
      </c>
      <c r="F117" s="2" t="inlineStr">
        <is>
          <t>80,00 × 1,00 m + 6,00 × 1,50 m + 3,80 × 2,20 m + 5,00 × 1,40 m  (samen 104,4 m²)</t>
        </is>
      </c>
      <c r="G117" s="2" t="n">
        <v>4</v>
      </c>
      <c r="H117" s="7" t="n">
        <v>94.8</v>
      </c>
      <c r="I117" s="7" t="n">
        <v>1</v>
      </c>
      <c r="J117" s="7" t="n">
        <v>104.36</v>
      </c>
      <c r="K117" s="2">
        <f>INDEX(Tarieven!$A$4:$E$7,MATCH($B117,Tarieven!$A$4:$A$7,0),2)</f>
        <v/>
      </c>
      <c r="L117" s="7">
        <f>IF($K117="plek",$G117,IF($K117="m1",$H117,$J117))</f>
        <v/>
      </c>
      <c r="M117" s="8">
        <f>INDEX(Tarieven!$A$4:$E$7,MATCH($B117,Tarieven!$A$4:$A$7,0),3)</f>
        <v/>
      </c>
      <c r="N117" s="8">
        <f>INDEX(Tarieven!$A$4:$E$7,MATCH($B117,Tarieven!$A$4:$A$7,0),4)</f>
        <v/>
      </c>
      <c r="O117" s="8">
        <f>IFERROR($L117*$M117,0)</f>
        <v/>
      </c>
      <c r="P117" s="8">
        <f>IFERROR($L117*$N117,0)</f>
        <v/>
      </c>
      <c r="Q117" s="2" t="inlineStr">
        <is>
          <t>normaal</t>
        </is>
      </c>
      <c r="R117" s="2" t="inlineStr">
        <is>
          <t>2026-07-28</t>
        </is>
      </c>
      <c r="S117" s="2" t="n">
        <v>31</v>
      </c>
      <c r="T117" s="2" t="n">
        <v>52.41373</v>
      </c>
      <c r="U117" s="2" t="n">
        <v>4.9079</v>
      </c>
      <c r="V117" s="2" t="inlineStr">
        <is>
          <t>Kadoelenweg 316. Amsterdam</t>
        </is>
      </c>
      <c r="W117" s="2" t="inlineStr">
        <is>
          <t>Asfalt Schouw NOORD — 26 augustus 2026</t>
        </is>
      </c>
      <c r="X117" s="2" t="inlineStr">
        <is>
          <t>40/49</t>
        </is>
      </c>
      <c r="Y117" s="2" t="inlineStr">
        <is>
          <t>116-kadoelenweg.jpg</t>
        </is>
      </c>
      <c r="Z117" s="9" t="inlineStr">
        <is>
          <t>handgeschreven code "AS" in de kantlijn</t>
        </is>
      </c>
      <c r="AA117" s="9" t="inlineStr"/>
      <c r="AB117" s="2" t="inlineStr">
        <is>
          <t>SOK-AMS-KADOELENWEG</t>
        </is>
      </c>
      <c r="AC117" s="2" t="inlineStr"/>
      <c r="AD117" s="2" t="n">
        <v>4</v>
      </c>
    </row>
    <row r="118">
      <c r="A118" s="2" t="inlineStr">
        <is>
          <t>SOK-AMS-2026-117</t>
        </is>
      </c>
      <c r="B118" s="2" t="inlineStr">
        <is>
          <t>Asfalt machinaal</t>
        </is>
      </c>
      <c r="C118" s="2" t="inlineStr">
        <is>
          <t>Kadoelenweg</t>
        </is>
      </c>
      <c r="D118" s="2" t="inlineStr">
        <is>
          <t>Kadoelen</t>
        </is>
      </c>
      <c r="E118" s="2" t="inlineStr">
        <is>
          <t>Kadoelenweg t.h.v. nr 173 foto 1. 2.80 x 5.20. Foto 2 2.00 x 1.40</t>
        </is>
      </c>
      <c r="F118" s="2" t="inlineStr">
        <is>
          <t>5,20 × 2,80 m + 2,00 × 1,40 m  (samen 17,4 m²)</t>
        </is>
      </c>
      <c r="G118" s="2" t="n">
        <v>2</v>
      </c>
      <c r="H118" s="7" t="n">
        <v>7.2</v>
      </c>
      <c r="I118" s="7" t="n">
        <v>1.4</v>
      </c>
      <c r="J118" s="7" t="n">
        <v>17.36</v>
      </c>
      <c r="K118" s="2">
        <f>INDEX(Tarieven!$A$4:$E$7,MATCH($B118,Tarieven!$A$4:$A$7,0),2)</f>
        <v/>
      </c>
      <c r="L118" s="7">
        <f>IF($K118="plek",$G118,IF($K118="m1",$H118,$J118))</f>
        <v/>
      </c>
      <c r="M118" s="8">
        <f>INDEX(Tarieven!$A$4:$E$7,MATCH($B118,Tarieven!$A$4:$A$7,0),3)</f>
        <v/>
      </c>
      <c r="N118" s="8">
        <f>INDEX(Tarieven!$A$4:$E$7,MATCH($B118,Tarieven!$A$4:$A$7,0),4)</f>
        <v/>
      </c>
      <c r="O118" s="8">
        <f>IFERROR($L118*$M118,0)</f>
        <v/>
      </c>
      <c r="P118" s="8">
        <f>IFERROR($L118*$N118,0)</f>
        <v/>
      </c>
      <c r="Q118" s="2" t="inlineStr">
        <is>
          <t>normaal</t>
        </is>
      </c>
      <c r="R118" s="2" t="inlineStr">
        <is>
          <t>2026-07-28</t>
        </is>
      </c>
      <c r="S118" s="2" t="n">
        <v>31</v>
      </c>
      <c r="T118" s="2" t="n">
        <v>52.41421</v>
      </c>
      <c r="U118" s="2" t="n">
        <v>4.90834</v>
      </c>
      <c r="V118" s="2" t="inlineStr">
        <is>
          <t>Kadoelenweg 173, Amsterdam</t>
        </is>
      </c>
      <c r="W118" s="2" t="inlineStr">
        <is>
          <t>Asfalt Schouw NOORD — 26 augustus 2026</t>
        </is>
      </c>
      <c r="X118" s="2" t="inlineStr">
        <is>
          <t>40/49</t>
        </is>
      </c>
      <c r="Y118" s="2" t="inlineStr">
        <is>
          <t>117-kadoelenweg.jpg</t>
        </is>
      </c>
      <c r="Z118" s="9" t="inlineStr">
        <is>
          <t>handgeschreven code "AS" in de kantlijn</t>
        </is>
      </c>
      <c r="AA118" s="9" t="inlineStr"/>
      <c r="AB118" s="2" t="inlineStr">
        <is>
          <t>SOK-AMS-KADOELENWEG</t>
        </is>
      </c>
      <c r="AC118" s="2" t="inlineStr"/>
      <c r="AD118" s="2" t="n">
        <v>2</v>
      </c>
    </row>
    <row r="119">
      <c r="A119" s="2" t="inlineStr">
        <is>
          <t>SOK-AMS-2026-118</t>
        </is>
      </c>
      <c r="B119" s="2" t="inlineStr">
        <is>
          <t>Asfalt machinaal</t>
        </is>
      </c>
      <c r="C119" s="2" t="inlineStr">
        <is>
          <t>Kadoelenweg</t>
        </is>
      </c>
      <c r="D119" s="2" t="inlineStr">
        <is>
          <t>Kadoelen</t>
        </is>
      </c>
      <c r="E119" s="2" t="inlineStr">
        <is>
          <t>Kadoelenweg nr. 304 4.20 x 1.40</t>
        </is>
      </c>
      <c r="F119" s="2" t="inlineStr">
        <is>
          <t>4,20 × 1,40 m  (samen 5,9 m²)</t>
        </is>
      </c>
      <c r="G119" s="2" t="n">
        <v>1</v>
      </c>
      <c r="H119" s="7" t="n">
        <v>4.2</v>
      </c>
      <c r="I119" s="7" t="n">
        <v>1.4</v>
      </c>
      <c r="J119" s="7" t="n">
        <v>5.88</v>
      </c>
      <c r="K119" s="2">
        <f>INDEX(Tarieven!$A$4:$E$7,MATCH($B119,Tarieven!$A$4:$A$7,0),2)</f>
        <v/>
      </c>
      <c r="L119" s="7">
        <f>IF($K119="plek",$G119,IF($K119="m1",$H119,$J119))</f>
        <v/>
      </c>
      <c r="M119" s="8">
        <f>INDEX(Tarieven!$A$4:$E$7,MATCH($B119,Tarieven!$A$4:$A$7,0),3)</f>
        <v/>
      </c>
      <c r="N119" s="8">
        <f>INDEX(Tarieven!$A$4:$E$7,MATCH($B119,Tarieven!$A$4:$A$7,0),4)</f>
        <v/>
      </c>
      <c r="O119" s="8">
        <f>IFERROR($L119*$M119,0)</f>
        <v/>
      </c>
      <c r="P119" s="8">
        <f>IFERROR($L119*$N119,0)</f>
        <v/>
      </c>
      <c r="Q119" s="2" t="inlineStr">
        <is>
          <t>normaal</t>
        </is>
      </c>
      <c r="R119" s="2" t="inlineStr">
        <is>
          <t>2026-07-28</t>
        </is>
      </c>
      <c r="S119" s="2" t="n">
        <v>31</v>
      </c>
      <c r="T119" s="2" t="n">
        <v>52.4146</v>
      </c>
      <c r="U119" s="2" t="n">
        <v>4.90732</v>
      </c>
      <c r="V119" s="2" t="inlineStr">
        <is>
          <t>Kadoelenweg 296, Amsterdam</t>
        </is>
      </c>
      <c r="W119" s="2" t="inlineStr">
        <is>
          <t>Asfalt Schouw NOORD — 26 augustus 2026</t>
        </is>
      </c>
      <c r="X119" s="2" t="inlineStr">
        <is>
          <t>40/49</t>
        </is>
      </c>
      <c r="Y119" s="2" t="inlineStr">
        <is>
          <t>118-kadoelenweg.jpg</t>
        </is>
      </c>
      <c r="Z119" s="9" t="inlineStr">
        <is>
          <t>handgeschreven code "AS" in de kantlijn</t>
        </is>
      </c>
      <c r="AA119" s="9" t="inlineStr"/>
      <c r="AB119" s="2" t="inlineStr">
        <is>
          <t>SOK-AMS-KADOELENWEG</t>
        </is>
      </c>
      <c r="AC119" s="2" t="inlineStr"/>
      <c r="AD119" s="2" t="n">
        <v>1</v>
      </c>
    </row>
    <row r="120">
      <c r="A120" s="2" t="inlineStr">
        <is>
          <t>SOK-AMS-2026-119</t>
        </is>
      </c>
      <c r="B120" s="2" t="inlineStr">
        <is>
          <t>Asfalt machinaal</t>
        </is>
      </c>
      <c r="C120" s="2" t="inlineStr">
        <is>
          <t>Kadoelenweg</t>
        </is>
      </c>
      <c r="D120" s="2" t="inlineStr">
        <is>
          <t>Kadoelen</t>
        </is>
      </c>
      <c r="E120" s="2" t="inlineStr">
        <is>
          <t>Kadoelenweg nr. 292 foto 1 7.50 x 1.10.foto 2. 5.00 x 4.00. Foto 3 1.50 x 0.80</t>
        </is>
      </c>
      <c r="F120" s="2" t="inlineStr">
        <is>
          <t>7,50 × 1,10 m + 5,00 × 4,00 m + 1,50 × 0,80 m  (samen 29,4 m²)</t>
        </is>
      </c>
      <c r="G120" s="2" t="n">
        <v>3</v>
      </c>
      <c r="H120" s="7" t="n">
        <v>14</v>
      </c>
      <c r="I120" s="7" t="n">
        <v>0.8</v>
      </c>
      <c r="J120" s="7" t="n">
        <v>29.45</v>
      </c>
      <c r="K120" s="2">
        <f>INDEX(Tarieven!$A$4:$E$7,MATCH($B120,Tarieven!$A$4:$A$7,0),2)</f>
        <v/>
      </c>
      <c r="L120" s="7">
        <f>IF($K120="plek",$G120,IF($K120="m1",$H120,$J120))</f>
        <v/>
      </c>
      <c r="M120" s="8">
        <f>INDEX(Tarieven!$A$4:$E$7,MATCH($B120,Tarieven!$A$4:$A$7,0),3)</f>
        <v/>
      </c>
      <c r="N120" s="8">
        <f>INDEX(Tarieven!$A$4:$E$7,MATCH($B120,Tarieven!$A$4:$A$7,0),4)</f>
        <v/>
      </c>
      <c r="O120" s="8">
        <f>IFERROR($L120*$M120,0)</f>
        <v/>
      </c>
      <c r="P120" s="8">
        <f>IFERROR($L120*$N120,0)</f>
        <v/>
      </c>
      <c r="Q120" s="2" t="inlineStr">
        <is>
          <t>normaal</t>
        </is>
      </c>
      <c r="R120" s="2" t="inlineStr">
        <is>
          <t>2026-07-28</t>
        </is>
      </c>
      <c r="S120" s="2" t="n">
        <v>31</v>
      </c>
      <c r="T120" s="2" t="n">
        <v>52.41472</v>
      </c>
      <c r="U120" s="2" t="n">
        <v>4.90721</v>
      </c>
      <c r="V120" s="2" t="inlineStr">
        <is>
          <t>Kadoelenweg 292, Amsterdam</t>
        </is>
      </c>
      <c r="W120" s="2" t="inlineStr">
        <is>
          <t>Asfalt Schouw NOORD — 26 augustus 2026</t>
        </is>
      </c>
      <c r="X120" s="2" t="inlineStr">
        <is>
          <t>41/49</t>
        </is>
      </c>
      <c r="Y120" s="2" t="inlineStr">
        <is>
          <t>119-kadoelenweg.jpg</t>
        </is>
      </c>
      <c r="Z120" s="9" t="inlineStr">
        <is>
          <t>handgeschreven code "AS" in de kantlijn</t>
        </is>
      </c>
      <c r="AA120" s="9" t="inlineStr"/>
      <c r="AB120" s="2" t="inlineStr">
        <is>
          <t>SOK-AMS-KADOELENWEG</t>
        </is>
      </c>
      <c r="AC120" s="2" t="inlineStr"/>
      <c r="AD120" s="2" t="n">
        <v>3</v>
      </c>
    </row>
    <row r="121">
      <c r="A121" s="2" t="inlineStr">
        <is>
          <t>SOK-AMS-2026-120</t>
        </is>
      </c>
      <c r="B121" s="2" t="inlineStr">
        <is>
          <t>Asfalt – nog in te delen</t>
        </is>
      </c>
      <c r="C121" s="2" t="inlineStr">
        <is>
          <t>Kadoelenweg</t>
        </is>
      </c>
      <c r="D121" s="2" t="inlineStr">
        <is>
          <t>Kadoelen</t>
        </is>
      </c>
      <c r="E121" s="2" t="inlineStr">
        <is>
          <t>Kadoelenweg nr.276 3.40 x 1.70</t>
        </is>
      </c>
      <c r="F121" s="2" t="inlineStr">
        <is>
          <t>3,40 × 1,70 m  (samen 5,8 m²)</t>
        </is>
      </c>
      <c r="G121" s="2" t="n">
        <v>1</v>
      </c>
      <c r="H121" s="7" t="n">
        <v>3.4</v>
      </c>
      <c r="I121" s="7" t="n">
        <v>1.7</v>
      </c>
      <c r="J121" s="7" t="n">
        <v>5.78</v>
      </c>
      <c r="K121" s="2">
        <f>INDEX(Tarieven!$A$4:$E$7,MATCH($B121,Tarieven!$A$4:$A$7,0),2)</f>
        <v/>
      </c>
      <c r="L121" s="7">
        <f>IF($K121="plek",$G121,IF($K121="m1",$H121,$J121))</f>
        <v/>
      </c>
      <c r="M121" s="8">
        <f>INDEX(Tarieven!$A$4:$E$7,MATCH($B121,Tarieven!$A$4:$A$7,0),3)</f>
        <v/>
      </c>
      <c r="N121" s="8">
        <f>INDEX(Tarieven!$A$4:$E$7,MATCH($B121,Tarieven!$A$4:$A$7,0),4)</f>
        <v/>
      </c>
      <c r="O121" s="8">
        <f>IFERROR($L121*$M121,0)</f>
        <v/>
      </c>
      <c r="P121" s="8">
        <f>IFERROR($L121*$N121,0)</f>
        <v/>
      </c>
      <c r="Q121" s="2" t="inlineStr">
        <is>
          <t>normaal</t>
        </is>
      </c>
      <c r="R121" s="2" t="inlineStr">
        <is>
          <t>2026-07-28</t>
        </is>
      </c>
      <c r="S121" s="2" t="n">
        <v>31</v>
      </c>
      <c r="T121" s="2" t="n">
        <v>52.41534</v>
      </c>
      <c r="U121" s="2" t="n">
        <v>4.90713</v>
      </c>
      <c r="V121" s="2" t="inlineStr">
        <is>
          <t>Kadoelenweg 169D, Amsterdam</t>
        </is>
      </c>
      <c r="W121" s="2" t="inlineStr">
        <is>
          <t>Asfalt Schouw NOORD — 26 augustus 2026</t>
        </is>
      </c>
      <c r="X121" s="2" t="inlineStr">
        <is>
          <t>41/49</t>
        </is>
      </c>
      <c r="Y121" s="2" t="inlineStr">
        <is>
          <t>120-kadoelenweg.jpg</t>
        </is>
      </c>
      <c r="Z121" s="9" t="inlineStr">
        <is>
          <t>geen code in de kantlijn en geen asfaltsoort in de tekst</t>
        </is>
      </c>
      <c r="AA121" s="9" t="inlineStr"/>
      <c r="AB121" s="2" t="inlineStr">
        <is>
          <t>SOK-AMS-KADOELENWEG</t>
        </is>
      </c>
      <c r="AC121" s="2" t="inlineStr"/>
      <c r="AD121" s="2" t="n">
        <v>1</v>
      </c>
    </row>
    <row r="122">
      <c r="A122" s="2" t="inlineStr">
        <is>
          <t>SOK-AMS-2026-121</t>
        </is>
      </c>
      <c r="B122" s="2" t="inlineStr">
        <is>
          <t>Asfalt – nog in te delen</t>
        </is>
      </c>
      <c r="C122" s="2" t="inlineStr">
        <is>
          <t>Kadoelenweg</t>
        </is>
      </c>
      <c r="D122" s="2" t="inlineStr">
        <is>
          <t>Kadoelen</t>
        </is>
      </c>
      <c r="E122" s="2" t="inlineStr">
        <is>
          <t>Kadoelenweg nr. 258 foto 1. 6.00 x 1.20. Foto 2 6.30 x 2.30 foto 3 nr. 236 2.60 x 1.70</t>
        </is>
      </c>
      <c r="F122" s="2" t="inlineStr">
        <is>
          <t>6,00 × 1,20 m + 6,30 × 2,30 m + 2,60 × 1,70 m  (samen 26,1 m²)</t>
        </is>
      </c>
      <c r="G122" s="2" t="n">
        <v>3</v>
      </c>
      <c r="H122" s="7" t="n">
        <v>14.9</v>
      </c>
      <c r="I122" s="7" t="n">
        <v>1.2</v>
      </c>
      <c r="J122" s="7" t="n">
        <v>26.11</v>
      </c>
      <c r="K122" s="2">
        <f>INDEX(Tarieven!$A$4:$E$7,MATCH($B122,Tarieven!$A$4:$A$7,0),2)</f>
        <v/>
      </c>
      <c r="L122" s="7">
        <f>IF($K122="plek",$G122,IF($K122="m1",$H122,$J122))</f>
        <v/>
      </c>
      <c r="M122" s="8">
        <f>INDEX(Tarieven!$A$4:$E$7,MATCH($B122,Tarieven!$A$4:$A$7,0),3)</f>
        <v/>
      </c>
      <c r="N122" s="8">
        <f>INDEX(Tarieven!$A$4:$E$7,MATCH($B122,Tarieven!$A$4:$A$7,0),4)</f>
        <v/>
      </c>
      <c r="O122" s="8">
        <f>IFERROR($L122*$M122,0)</f>
        <v/>
      </c>
      <c r="P122" s="8">
        <f>IFERROR($L122*$N122,0)</f>
        <v/>
      </c>
      <c r="Q122" s="2" t="inlineStr">
        <is>
          <t>normaal</t>
        </is>
      </c>
      <c r="R122" s="2" t="inlineStr">
        <is>
          <t>2026-07-28</t>
        </is>
      </c>
      <c r="S122" s="2" t="n">
        <v>31</v>
      </c>
      <c r="T122" s="2" t="n">
        <v>52.41502</v>
      </c>
      <c r="U122" s="2" t="n">
        <v>4.90694</v>
      </c>
      <c r="V122" s="2" t="inlineStr">
        <is>
          <t>Kadoelenweg 280, Amsterdam</t>
        </is>
      </c>
      <c r="W122" s="2" t="inlineStr">
        <is>
          <t>Asfalt Schouw NOORD — 26 augustus 2026</t>
        </is>
      </c>
      <c r="X122" s="2" t="inlineStr">
        <is>
          <t>41/49</t>
        </is>
      </c>
      <c r="Y122" s="2" t="inlineStr">
        <is>
          <t>121-kadoelenweg.jpg</t>
        </is>
      </c>
      <c r="Z122" s="9" t="inlineStr">
        <is>
          <t>geen code in de kantlijn en geen asfaltsoort in de tekst</t>
        </is>
      </c>
      <c r="AA122" s="9" t="inlineStr"/>
      <c r="AB122" s="2" t="inlineStr">
        <is>
          <t>SOK-AMS-KADOELENWEG</t>
        </is>
      </c>
      <c r="AC122" s="2" t="inlineStr"/>
      <c r="AD122" s="2" t="n">
        <v>3</v>
      </c>
    </row>
    <row r="123">
      <c r="A123" s="2" t="inlineStr">
        <is>
          <t>SOK-AMS-2026-122</t>
        </is>
      </c>
      <c r="B123" s="2" t="inlineStr">
        <is>
          <t>Hotbox werkzaamheden</t>
        </is>
      </c>
      <c r="C123" s="2" t="inlineStr">
        <is>
          <t>Kadoelenweg</t>
        </is>
      </c>
      <c r="D123" s="2" t="inlineStr">
        <is>
          <t>Kadoelen</t>
        </is>
      </c>
      <c r="E123" s="2" t="inlineStr">
        <is>
          <t>Kadoelenweg nr. 2.28 4.00 x 1.10</t>
        </is>
      </c>
      <c r="F123" s="2" t="inlineStr">
        <is>
          <t>4,00 × 1,10 m  (samen 4,4 m²)</t>
        </is>
      </c>
      <c r="G123" s="2" t="n">
        <v>1</v>
      </c>
      <c r="H123" s="7" t="n">
        <v>4</v>
      </c>
      <c r="I123" s="7" t="n">
        <v>1.1</v>
      </c>
      <c r="J123" s="7" t="n">
        <v>4.4</v>
      </c>
      <c r="K123" s="2">
        <f>INDEX(Tarieven!$A$4:$E$7,MATCH($B123,Tarieven!$A$4:$A$7,0),2)</f>
        <v/>
      </c>
      <c r="L123" s="7">
        <f>IF($K123="plek",$G123,IF($K123="m1",$H123,$J123))</f>
        <v/>
      </c>
      <c r="M123" s="8">
        <f>INDEX(Tarieven!$A$4:$E$7,MATCH($B123,Tarieven!$A$4:$A$7,0),3)</f>
        <v/>
      </c>
      <c r="N123" s="8">
        <f>INDEX(Tarieven!$A$4:$E$7,MATCH($B123,Tarieven!$A$4:$A$7,0),4)</f>
        <v/>
      </c>
      <c r="O123" s="8">
        <f>IFERROR($L123*$M123,0)</f>
        <v/>
      </c>
      <c r="P123" s="8">
        <f>IFERROR($L123*$N123,0)</f>
        <v/>
      </c>
      <c r="Q123" s="2" t="inlineStr">
        <is>
          <t>normaal</t>
        </is>
      </c>
      <c r="R123" s="2" t="inlineStr">
        <is>
          <t>2026-07-28</t>
        </is>
      </c>
      <c r="S123" s="2" t="n">
        <v>31</v>
      </c>
      <c r="T123" s="2" t="n">
        <v>52.41616</v>
      </c>
      <c r="U123" s="2" t="n">
        <v>4.90603</v>
      </c>
      <c r="V123" s="2" t="inlineStr">
        <is>
          <t>Kadoelenweg 226, Amsterdam</t>
        </is>
      </c>
      <c r="W123" s="2" t="inlineStr">
        <is>
          <t>Asfalt Schouw NOORD — 26 augustus 2026</t>
        </is>
      </c>
      <c r="X123" s="2" t="inlineStr">
        <is>
          <t>42/49</t>
        </is>
      </c>
      <c r="Y123" s="2" t="inlineStr">
        <is>
          <t>122-kadoelenweg.jpg</t>
        </is>
      </c>
      <c r="Z123" s="9" t="inlineStr">
        <is>
          <t>handgeschreven code "HB" in de kantlijn</t>
        </is>
      </c>
      <c r="AA123" s="9" t="inlineStr"/>
      <c r="AB123" s="2" t="inlineStr">
        <is>
          <t>SOK-AMS-KADOELENWEG</t>
        </is>
      </c>
      <c r="AC123" s="2" t="inlineStr"/>
      <c r="AD123" s="2" t="n">
        <v>1</v>
      </c>
    </row>
    <row r="124">
      <c r="A124" s="2" t="inlineStr">
        <is>
          <t>SOK-AMS-2026-123</t>
        </is>
      </c>
      <c r="B124" s="2" t="inlineStr">
        <is>
          <t>Hotbox werkzaamheden</t>
        </is>
      </c>
      <c r="C124" s="2" t="inlineStr">
        <is>
          <t>Kadoelenweg</t>
        </is>
      </c>
      <c r="D124" s="2" t="inlineStr">
        <is>
          <t>Kadoelen</t>
        </is>
      </c>
      <c r="E124" s="2" t="inlineStr">
        <is>
          <t>Kadoelenweg / Wilmkebreedpad 4.80 x 1.10</t>
        </is>
      </c>
      <c r="F124" s="2" t="inlineStr">
        <is>
          <t>4,80 × 1,10 m  (samen 5,3 m²)</t>
        </is>
      </c>
      <c r="G124" s="2" t="n">
        <v>1</v>
      </c>
      <c r="H124" s="7" t="n">
        <v>4.8</v>
      </c>
      <c r="I124" s="7" t="n">
        <v>1.1</v>
      </c>
      <c r="J124" s="7" t="n">
        <v>5.28</v>
      </c>
      <c r="K124" s="2">
        <f>INDEX(Tarieven!$A$4:$E$7,MATCH($B124,Tarieven!$A$4:$A$7,0),2)</f>
        <v/>
      </c>
      <c r="L124" s="7">
        <f>IF($K124="plek",$G124,IF($K124="m1",$H124,$J124))</f>
        <v/>
      </c>
      <c r="M124" s="8">
        <f>INDEX(Tarieven!$A$4:$E$7,MATCH($B124,Tarieven!$A$4:$A$7,0),3)</f>
        <v/>
      </c>
      <c r="N124" s="8">
        <f>INDEX(Tarieven!$A$4:$E$7,MATCH($B124,Tarieven!$A$4:$A$7,0),4)</f>
        <v/>
      </c>
      <c r="O124" s="8">
        <f>IFERROR($L124*$M124,0)</f>
        <v/>
      </c>
      <c r="P124" s="8">
        <f>IFERROR($L124*$N124,0)</f>
        <v/>
      </c>
      <c r="Q124" s="2" t="inlineStr">
        <is>
          <t>normaal</t>
        </is>
      </c>
      <c r="R124" s="2" t="inlineStr">
        <is>
          <t>2026-07-28</t>
        </is>
      </c>
      <c r="S124" s="2" t="n">
        <v>31</v>
      </c>
      <c r="T124" s="2" t="n">
        <v>52.41611</v>
      </c>
      <c r="U124" s="2" t="n">
        <v>4.90608</v>
      </c>
      <c r="V124" s="2" t="inlineStr">
        <is>
          <t>Kadoelenweg 228, Amsterdam</t>
        </is>
      </c>
      <c r="W124" s="2" t="inlineStr">
        <is>
          <t>Asfalt Schouw NOORD — 26 augustus 2026</t>
        </is>
      </c>
      <c r="X124" s="2" t="inlineStr">
        <is>
          <t>42/49</t>
        </is>
      </c>
      <c r="Y124" s="2" t="inlineStr">
        <is>
          <t>123-kadoelenweg.jpg</t>
        </is>
      </c>
      <c r="Z124" s="9" t="inlineStr">
        <is>
          <t>handgeschreven code "HB" in de kantlijn</t>
        </is>
      </c>
      <c r="AA124" s="9" t="inlineStr"/>
      <c r="AB124" s="2" t="inlineStr">
        <is>
          <t>SOK-AMS-KADOELENWEG</t>
        </is>
      </c>
      <c r="AC124" s="2" t="inlineStr"/>
      <c r="AD124" s="2" t="n">
        <v>1</v>
      </c>
    </row>
    <row r="125">
      <c r="A125" s="2" t="inlineStr">
        <is>
          <t>SOK-AMS-2026-124</t>
        </is>
      </c>
      <c r="B125" s="2" t="inlineStr">
        <is>
          <t>Hotbox werkzaamheden</t>
        </is>
      </c>
      <c r="C125" s="2" t="inlineStr">
        <is>
          <t>Kadoelenweg</t>
        </is>
      </c>
      <c r="D125" s="2" t="inlineStr">
        <is>
          <t>Kadoelen</t>
        </is>
      </c>
      <c r="E125" s="2" t="inlineStr">
        <is>
          <t>Kadoelenweg nr. 208 2.40 x 1.20</t>
        </is>
      </c>
      <c r="F125" s="2" t="inlineStr">
        <is>
          <t>2,40 × 1,20 m  (samen 2,9 m²)</t>
        </is>
      </c>
      <c r="G125" s="2" t="n">
        <v>1</v>
      </c>
      <c r="H125" s="7" t="n">
        <v>2.4</v>
      </c>
      <c r="I125" s="7" t="n">
        <v>1.2</v>
      </c>
      <c r="J125" s="7" t="n">
        <v>2.88</v>
      </c>
      <c r="K125" s="2">
        <f>INDEX(Tarieven!$A$4:$E$7,MATCH($B125,Tarieven!$A$4:$A$7,0),2)</f>
        <v/>
      </c>
      <c r="L125" s="7">
        <f>IF($K125="plek",$G125,IF($K125="m1",$H125,$J125))</f>
        <v/>
      </c>
      <c r="M125" s="8">
        <f>INDEX(Tarieven!$A$4:$E$7,MATCH($B125,Tarieven!$A$4:$A$7,0),3)</f>
        <v/>
      </c>
      <c r="N125" s="8">
        <f>INDEX(Tarieven!$A$4:$E$7,MATCH($B125,Tarieven!$A$4:$A$7,0),4)</f>
        <v/>
      </c>
      <c r="O125" s="8">
        <f>IFERROR($L125*$M125,0)</f>
        <v/>
      </c>
      <c r="P125" s="8">
        <f>IFERROR($L125*$N125,0)</f>
        <v/>
      </c>
      <c r="Q125" s="2" t="inlineStr">
        <is>
          <t>normaal</t>
        </is>
      </c>
      <c r="R125" s="2" t="inlineStr">
        <is>
          <t>2026-07-28</t>
        </is>
      </c>
      <c r="S125" s="2" t="n">
        <v>31</v>
      </c>
      <c r="T125" s="2" t="n">
        <v>52.41702</v>
      </c>
      <c r="U125" s="2" t="n">
        <v>4.90588</v>
      </c>
      <c r="V125" s="2" t="inlineStr">
        <is>
          <t>Kadoelenweg 208, Amsterdam</t>
        </is>
      </c>
      <c r="W125" s="2" t="inlineStr">
        <is>
          <t>Asfalt Schouw NOORD — 26 augustus 2026</t>
        </is>
      </c>
      <c r="X125" s="2" t="inlineStr">
        <is>
          <t>42/49</t>
        </is>
      </c>
      <c r="Y125" s="2" t="inlineStr">
        <is>
          <t>124-kadoelenweg.jpg</t>
        </is>
      </c>
      <c r="Z125" s="9" t="inlineStr">
        <is>
          <t>handgeschreven code "HB" in de kantlijn</t>
        </is>
      </c>
      <c r="AA125" s="9" t="inlineStr"/>
      <c r="AB125" s="2" t="inlineStr">
        <is>
          <t>SOK-AMS-KADOELENWEG</t>
        </is>
      </c>
      <c r="AC125" s="2" t="inlineStr"/>
      <c r="AD125" s="2" t="n">
        <v>1</v>
      </c>
    </row>
    <row r="126">
      <c r="A126" s="2" t="inlineStr">
        <is>
          <t>SOK-AMS-2026-125</t>
        </is>
      </c>
      <c r="B126" s="2" t="inlineStr">
        <is>
          <t>Asfalt machinaal</t>
        </is>
      </c>
      <c r="C126" s="2" t="inlineStr">
        <is>
          <t>Kadoelenweg</t>
        </is>
      </c>
      <c r="D126" s="2" t="inlineStr">
        <is>
          <t>Kadoelen</t>
        </is>
      </c>
      <c r="E126" s="2" t="inlineStr">
        <is>
          <t>Kadoelenweg / Astasiastraat 4.20 x 2.60</t>
        </is>
      </c>
      <c r="F126" s="2" t="inlineStr">
        <is>
          <t>4,20 × 2,60 m  (samen 10,9 m²)</t>
        </is>
      </c>
      <c r="G126" s="2" t="n">
        <v>1</v>
      </c>
      <c r="H126" s="7" t="n">
        <v>4.2</v>
      </c>
      <c r="I126" s="7" t="n">
        <v>2.6</v>
      </c>
      <c r="J126" s="7" t="n">
        <v>10.92</v>
      </c>
      <c r="K126" s="2">
        <f>INDEX(Tarieven!$A$4:$E$7,MATCH($B126,Tarieven!$A$4:$A$7,0),2)</f>
        <v/>
      </c>
      <c r="L126" s="7">
        <f>IF($K126="plek",$G126,IF($K126="m1",$H126,$J126))</f>
        <v/>
      </c>
      <c r="M126" s="8">
        <f>INDEX(Tarieven!$A$4:$E$7,MATCH($B126,Tarieven!$A$4:$A$7,0),3)</f>
        <v/>
      </c>
      <c r="N126" s="8">
        <f>INDEX(Tarieven!$A$4:$E$7,MATCH($B126,Tarieven!$A$4:$A$7,0),4)</f>
        <v/>
      </c>
      <c r="O126" s="8">
        <f>IFERROR($L126*$M126,0)</f>
        <v/>
      </c>
      <c r="P126" s="8">
        <f>IFERROR($L126*$N126,0)</f>
        <v/>
      </c>
      <c r="Q126" s="2" t="inlineStr">
        <is>
          <t>normaal</t>
        </is>
      </c>
      <c r="R126" s="2" t="inlineStr">
        <is>
          <t>2026-07-28</t>
        </is>
      </c>
      <c r="S126" s="2" t="n">
        <v>31</v>
      </c>
      <c r="T126" s="2" t="n">
        <v>52.41818</v>
      </c>
      <c r="U126" s="2" t="n">
        <v>4.90607</v>
      </c>
      <c r="V126" s="2" t="inlineStr">
        <is>
          <t>Kadoelenweg 178. Amsterdam</t>
        </is>
      </c>
      <c r="W126" s="2" t="inlineStr">
        <is>
          <t>Asfalt Schouw NOORD — 26 augustus 2026</t>
        </is>
      </c>
      <c r="X126" s="2" t="inlineStr">
        <is>
          <t>43/49</t>
        </is>
      </c>
      <c r="Y126" s="2" t="inlineStr">
        <is>
          <t>125-kadoelenweg.jpg</t>
        </is>
      </c>
      <c r="Z126" s="9" t="inlineStr">
        <is>
          <t>handgeschreven code "AS" in de kantlijn</t>
        </is>
      </c>
      <c r="AA126" s="9" t="inlineStr"/>
      <c r="AB126" s="2" t="inlineStr">
        <is>
          <t>SOK-AMS-KADOELENWEG</t>
        </is>
      </c>
      <c r="AC126" s="2" t="inlineStr"/>
      <c r="AD126" s="2" t="n">
        <v>1</v>
      </c>
    </row>
    <row r="127">
      <c r="A127" s="2" t="inlineStr">
        <is>
          <t>SOK-AMS-2026-126</t>
        </is>
      </c>
      <c r="B127" s="2" t="inlineStr">
        <is>
          <t>Asfalt – nog in te delen</t>
        </is>
      </c>
      <c r="C127" s="2" t="inlineStr">
        <is>
          <t>Kadoelenweg</t>
        </is>
      </c>
      <c r="D127" s="2" t="inlineStr">
        <is>
          <t>Kadoelen</t>
        </is>
      </c>
      <c r="E127" s="2" t="inlineStr">
        <is>
          <t>Kadoelenweg nr. 170 6.30 x 1.40</t>
        </is>
      </c>
      <c r="F127" s="2" t="inlineStr">
        <is>
          <t>6,30 × 1,40 m  (samen 8,8 m²)</t>
        </is>
      </c>
      <c r="G127" s="2" t="n">
        <v>1</v>
      </c>
      <c r="H127" s="7" t="n">
        <v>6.3</v>
      </c>
      <c r="I127" s="7" t="n">
        <v>1.4</v>
      </c>
      <c r="J127" s="7" t="n">
        <v>8.82</v>
      </c>
      <c r="K127" s="2">
        <f>INDEX(Tarieven!$A$4:$E$7,MATCH($B127,Tarieven!$A$4:$A$7,0),2)</f>
        <v/>
      </c>
      <c r="L127" s="7">
        <f>IF($K127="plek",$G127,IF($K127="m1",$H127,$J127))</f>
        <v/>
      </c>
      <c r="M127" s="8">
        <f>INDEX(Tarieven!$A$4:$E$7,MATCH($B127,Tarieven!$A$4:$A$7,0),3)</f>
        <v/>
      </c>
      <c r="N127" s="8">
        <f>INDEX(Tarieven!$A$4:$E$7,MATCH($B127,Tarieven!$A$4:$A$7,0),4)</f>
        <v/>
      </c>
      <c r="O127" s="8">
        <f>IFERROR($L127*$M127,0)</f>
        <v/>
      </c>
      <c r="P127" s="8">
        <f>IFERROR($L127*$N127,0)</f>
        <v/>
      </c>
      <c r="Q127" s="2" t="inlineStr">
        <is>
          <t>normaal</t>
        </is>
      </c>
      <c r="R127" s="2" t="inlineStr">
        <is>
          <t>2026-07-28</t>
        </is>
      </c>
      <c r="S127" s="2" t="n">
        <v>31</v>
      </c>
      <c r="T127" s="2" t="n">
        <v>52.41872</v>
      </c>
      <c r="U127" s="2" t="n">
        <v>4.90704</v>
      </c>
      <c r="V127" s="2" t="inlineStr">
        <is>
          <t>Kadoelenweg 119, Amsterdam</t>
        </is>
      </c>
      <c r="W127" s="2" t="inlineStr">
        <is>
          <t>Asfalt Schouw NOORD — 26 augustus 2026</t>
        </is>
      </c>
      <c r="X127" s="2" t="inlineStr">
        <is>
          <t>43/49</t>
        </is>
      </c>
      <c r="Y127" s="2" t="inlineStr">
        <is>
          <t>126-kadoelenweg.jpg</t>
        </is>
      </c>
      <c r="Z127" s="9" t="inlineStr">
        <is>
          <t>geen code in de kantlijn en geen asfaltsoort in de tekst</t>
        </is>
      </c>
      <c r="AA127" s="9" t="inlineStr"/>
      <c r="AB127" s="2" t="inlineStr">
        <is>
          <t>SOK-AMS-KADOELENWEG</t>
        </is>
      </c>
      <c r="AC127" s="2" t="inlineStr"/>
      <c r="AD127" s="2" t="n">
        <v>1</v>
      </c>
    </row>
    <row r="128">
      <c r="A128" s="2" t="inlineStr">
        <is>
          <t>SOK-AMS-2026-127</t>
        </is>
      </c>
      <c r="B128" s="2" t="inlineStr">
        <is>
          <t>Asfalt machinaal</t>
        </is>
      </c>
      <c r="C128" s="2" t="inlineStr">
        <is>
          <t>Kadoelenweg</t>
        </is>
      </c>
      <c r="D128" s="2" t="inlineStr">
        <is>
          <t>Noordelijke IJ - Oevers - West</t>
        </is>
      </c>
      <c r="E128" s="2" t="inlineStr">
        <is>
          <t>Kadoelenweg nr. 162 7.00 x 1.30</t>
        </is>
      </c>
      <c r="F128" s="2" t="inlineStr">
        <is>
          <t>7,00 × 1,30 m  (samen 9,1 m²)</t>
        </is>
      </c>
      <c r="G128" s="2" t="n">
        <v>1</v>
      </c>
      <c r="H128" s="7" t="n">
        <v>7</v>
      </c>
      <c r="I128" s="7" t="n">
        <v>1.3</v>
      </c>
      <c r="J128" s="7" t="n">
        <v>9.1</v>
      </c>
      <c r="K128" s="2">
        <f>INDEX(Tarieven!$A$4:$E$7,MATCH($B128,Tarieven!$A$4:$A$7,0),2)</f>
        <v/>
      </c>
      <c r="L128" s="7">
        <f>IF($K128="plek",$G128,IF($K128="m1",$H128,$J128))</f>
        <v/>
      </c>
      <c r="M128" s="8">
        <f>INDEX(Tarieven!$A$4:$E$7,MATCH($B128,Tarieven!$A$4:$A$7,0),3)</f>
        <v/>
      </c>
      <c r="N128" s="8">
        <f>INDEX(Tarieven!$A$4:$E$7,MATCH($B128,Tarieven!$A$4:$A$7,0),4)</f>
        <v/>
      </c>
      <c r="O128" s="8">
        <f>IFERROR($L128*$M128,0)</f>
        <v/>
      </c>
      <c r="P128" s="8">
        <f>IFERROR($L128*$N128,0)</f>
        <v/>
      </c>
      <c r="Q128" s="2" t="inlineStr">
        <is>
          <t>normaal</t>
        </is>
      </c>
      <c r="R128" s="2" t="inlineStr">
        <is>
          <t>2026-07-28</t>
        </is>
      </c>
      <c r="S128" s="2" t="n">
        <v>31</v>
      </c>
      <c r="T128" s="2" t="n">
        <v>52.41926</v>
      </c>
      <c r="U128" s="2" t="n">
        <v>4.90731</v>
      </c>
      <c r="V128" s="2" t="inlineStr">
        <is>
          <t>Kadoelenweg 113, Amsterdam</t>
        </is>
      </c>
      <c r="W128" s="2" t="inlineStr">
        <is>
          <t>Asfalt Schouw NOORD — 26 augustus 2026</t>
        </is>
      </c>
      <c r="X128" s="2" t="inlineStr">
        <is>
          <t>43/49</t>
        </is>
      </c>
      <c r="Y128" s="2" t="inlineStr">
        <is>
          <t>127-kadoelenweg.jpg</t>
        </is>
      </c>
      <c r="Z128" s="9" t="inlineStr">
        <is>
          <t>handgeschreven code "AS" in de kantlijn</t>
        </is>
      </c>
      <c r="AA128" s="9" t="inlineStr"/>
      <c r="AB128" s="2" t="inlineStr">
        <is>
          <t>SOK-AMS-KADOELENWEG</t>
        </is>
      </c>
      <c r="AC128" s="2" t="inlineStr"/>
      <c r="AD128" s="2" t="n">
        <v>1</v>
      </c>
    </row>
    <row r="129">
      <c r="A129" s="2" t="inlineStr">
        <is>
          <t>SOK-AMS-2026-128</t>
        </is>
      </c>
      <c r="B129" s="2" t="inlineStr">
        <is>
          <t>Hotbox werkzaamheden</t>
        </is>
      </c>
      <c r="C129" s="2" t="inlineStr">
        <is>
          <t>Papaverweg</t>
        </is>
      </c>
      <c r="D129" s="2" t="inlineStr">
        <is>
          <t>Noordelijke IJ-Oevers-West</t>
        </is>
      </c>
      <c r="E129" s="2" t="inlineStr">
        <is>
          <t>Papaverweg 6.50 x 0.75</t>
        </is>
      </c>
      <c r="F129" s="2" t="inlineStr">
        <is>
          <t>6,50 × 0,75 m  (samen 4,9 m²)</t>
        </is>
      </c>
      <c r="G129" s="2" t="n">
        <v>1</v>
      </c>
      <c r="H129" s="7" t="n">
        <v>6.5</v>
      </c>
      <c r="I129" s="7" t="n">
        <v>0.75</v>
      </c>
      <c r="J129" s="7" t="n">
        <v>4.88</v>
      </c>
      <c r="K129" s="2">
        <f>INDEX(Tarieven!$A$4:$E$7,MATCH($B129,Tarieven!$A$4:$A$7,0),2)</f>
        <v/>
      </c>
      <c r="L129" s="7">
        <f>IF($K129="plek",$G129,IF($K129="m1",$H129,$J129))</f>
        <v/>
      </c>
      <c r="M129" s="8">
        <f>INDEX(Tarieven!$A$4:$E$7,MATCH($B129,Tarieven!$A$4:$A$7,0),3)</f>
        <v/>
      </c>
      <c r="N129" s="8">
        <f>INDEX(Tarieven!$A$4:$E$7,MATCH($B129,Tarieven!$A$4:$A$7,0),4)</f>
        <v/>
      </c>
      <c r="O129" s="8">
        <f>IFERROR($L129*$M129,0)</f>
        <v/>
      </c>
      <c r="P129" s="8">
        <f>IFERROR($L129*$N129,0)</f>
        <v/>
      </c>
      <c r="Q129" s="2" t="inlineStr">
        <is>
          <t>normaal</t>
        </is>
      </c>
      <c r="R129" s="2" t="inlineStr">
        <is>
          <t>2026-08-10</t>
        </is>
      </c>
      <c r="S129" s="2" t="n">
        <v>33</v>
      </c>
      <c r="T129" s="2" t="n">
        <v>52.39807</v>
      </c>
      <c r="U129" s="2" t="n">
        <v>4.90308</v>
      </c>
      <c r="V129" s="2" t="inlineStr">
        <is>
          <t>Papaverweg 50, Amsterdam</t>
        </is>
      </c>
      <c r="W129" s="2" t="inlineStr">
        <is>
          <t>Asfalt Schouw NOORD — 26 augustus 2026</t>
        </is>
      </c>
      <c r="X129" s="2" t="inlineStr">
        <is>
          <t>45/49</t>
        </is>
      </c>
      <c r="Y129" s="2" t="inlineStr">
        <is>
          <t>128-papaverweg.jpg</t>
        </is>
      </c>
      <c r="Z129" s="9" t="inlineStr">
        <is>
          <t>handgeschreven code "HB" in de kantlijn</t>
        </is>
      </c>
      <c r="AA129" s="9" t="inlineStr"/>
      <c r="AB129" s="2" t="inlineStr">
        <is>
          <t>SOK-AMS-PAPAVERWEG</t>
        </is>
      </c>
      <c r="AC129" s="2" t="inlineStr"/>
      <c r="AD129" s="2" t="n">
        <v>1</v>
      </c>
    </row>
    <row r="130">
      <c r="A130" s="2" t="inlineStr">
        <is>
          <t>SOK-AMS-2026-129</t>
        </is>
      </c>
      <c r="B130" s="2" t="inlineStr">
        <is>
          <t>Hotbox werkzaamheden</t>
        </is>
      </c>
      <c r="C130" s="2" t="inlineStr">
        <is>
          <t>Papaverweg</t>
        </is>
      </c>
      <c r="D130" s="2" t="inlineStr">
        <is>
          <t>Noordelijke IJ-Oevers-West</t>
        </is>
      </c>
      <c r="E130" s="2" t="inlineStr">
        <is>
          <t>Papaverweg 3.50 x 1.90</t>
        </is>
      </c>
      <c r="F130" s="2" t="inlineStr">
        <is>
          <t>3,50 × 1,90 m  (samen 6,6 m²)</t>
        </is>
      </c>
      <c r="G130" s="2" t="n">
        <v>1</v>
      </c>
      <c r="H130" s="7" t="n">
        <v>3.5</v>
      </c>
      <c r="I130" s="7" t="n">
        <v>1.9</v>
      </c>
      <c r="J130" s="7" t="n">
        <v>6.65</v>
      </c>
      <c r="K130" s="2">
        <f>INDEX(Tarieven!$A$4:$E$7,MATCH($B130,Tarieven!$A$4:$A$7,0),2)</f>
        <v/>
      </c>
      <c r="L130" s="7">
        <f>IF($K130="plek",$G130,IF($K130="m1",$H130,$J130))</f>
        <v/>
      </c>
      <c r="M130" s="8">
        <f>INDEX(Tarieven!$A$4:$E$7,MATCH($B130,Tarieven!$A$4:$A$7,0),3)</f>
        <v/>
      </c>
      <c r="N130" s="8">
        <f>INDEX(Tarieven!$A$4:$E$7,MATCH($B130,Tarieven!$A$4:$A$7,0),4)</f>
        <v/>
      </c>
      <c r="O130" s="8">
        <f>IFERROR($L130*$M130,0)</f>
        <v/>
      </c>
      <c r="P130" s="8">
        <f>IFERROR($L130*$N130,0)</f>
        <v/>
      </c>
      <c r="Q130" s="2" t="inlineStr">
        <is>
          <t>normaal</t>
        </is>
      </c>
      <c r="R130" s="2" t="inlineStr">
        <is>
          <t>2026-08-10</t>
        </is>
      </c>
      <c r="S130" s="2" t="n">
        <v>33</v>
      </c>
      <c r="T130" s="2" t="n">
        <v>52.39724</v>
      </c>
      <c r="U130" s="2" t="n">
        <v>4.90393</v>
      </c>
      <c r="V130" s="2" t="inlineStr">
        <is>
          <t>Papaverweg 173, Amsterdam</t>
        </is>
      </c>
      <c r="W130" s="2" t="inlineStr">
        <is>
          <t>Asfalt Schouw NOORD — 26 augustus 2026</t>
        </is>
      </c>
      <c r="X130" s="2" t="inlineStr">
        <is>
          <t>45/49</t>
        </is>
      </c>
      <c r="Y130" s="2" t="inlineStr">
        <is>
          <t>129-papaverweg.jpg</t>
        </is>
      </c>
      <c r="Z130" s="9" t="inlineStr">
        <is>
          <t>handgeschreven code "HB" in de kantlijn</t>
        </is>
      </c>
      <c r="AA130" s="9" t="inlineStr"/>
      <c r="AB130" s="2" t="inlineStr">
        <is>
          <t>SOK-AMS-PAPAVERWEG</t>
        </is>
      </c>
      <c r="AC130" s="2" t="inlineStr"/>
      <c r="AD130" s="2" t="n">
        <v>1</v>
      </c>
    </row>
    <row r="131">
      <c r="A131" s="2" t="inlineStr">
        <is>
          <t>SOK-AMS-2026-130</t>
        </is>
      </c>
      <c r="B131" s="2" t="inlineStr">
        <is>
          <t>Hotbox werkzaamheden</t>
        </is>
      </c>
      <c r="C131" s="2" t="inlineStr">
        <is>
          <t>Papaverweg</t>
        </is>
      </c>
      <c r="D131" s="2" t="inlineStr">
        <is>
          <t>Noordelijke IJ-Oevers-West</t>
        </is>
      </c>
      <c r="E131" s="2" t="inlineStr">
        <is>
          <t>Papaverweg fotol. 6.00 x 1.20 foto 2. 6.50 x 0.70</t>
        </is>
      </c>
      <c r="F131" s="2" t="inlineStr">
        <is>
          <t>6,00 × 1,20 m + 6,50 × 0,70 m  (samen 11,8 m²)</t>
        </is>
      </c>
      <c r="G131" s="2" t="n">
        <v>2</v>
      </c>
      <c r="H131" s="7" t="n">
        <v>12.5</v>
      </c>
      <c r="I131" s="7" t="n">
        <v>0.7</v>
      </c>
      <c r="J131" s="7" t="n">
        <v>11.75</v>
      </c>
      <c r="K131" s="2">
        <f>INDEX(Tarieven!$A$4:$E$7,MATCH($B131,Tarieven!$A$4:$A$7,0),2)</f>
        <v/>
      </c>
      <c r="L131" s="7">
        <f>IF($K131="plek",$G131,IF($K131="m1",$H131,$J131))</f>
        <v/>
      </c>
      <c r="M131" s="8">
        <f>INDEX(Tarieven!$A$4:$E$7,MATCH($B131,Tarieven!$A$4:$A$7,0),3)</f>
        <v/>
      </c>
      <c r="N131" s="8">
        <f>INDEX(Tarieven!$A$4:$E$7,MATCH($B131,Tarieven!$A$4:$A$7,0),4)</f>
        <v/>
      </c>
      <c r="O131" s="8">
        <f>IFERROR($L131*$M131,0)</f>
        <v/>
      </c>
      <c r="P131" s="8">
        <f>IFERROR($L131*$N131,0)</f>
        <v/>
      </c>
      <c r="Q131" s="2" t="inlineStr">
        <is>
          <t>normaal</t>
        </is>
      </c>
      <c r="R131" s="2" t="inlineStr">
        <is>
          <t>2026-08-10</t>
        </is>
      </c>
      <c r="S131" s="2" t="n">
        <v>33</v>
      </c>
      <c r="T131" s="2" t="n">
        <v>52.39728</v>
      </c>
      <c r="U131" s="2" t="n">
        <v>4.90444</v>
      </c>
      <c r="V131" s="2" t="inlineStr">
        <is>
          <t>Papaverweg 177, Amsterdam</t>
        </is>
      </c>
      <c r="W131" s="2" t="inlineStr">
        <is>
          <t>Asfalt Schouw NOORD — 26 augustus 2026</t>
        </is>
      </c>
      <c r="X131" s="2" t="inlineStr">
        <is>
          <t>45/49</t>
        </is>
      </c>
      <c r="Y131" s="2" t="inlineStr">
        <is>
          <t>130-papaverweg.jpg</t>
        </is>
      </c>
      <c r="Z131" s="9" t="inlineStr">
        <is>
          <t>handgeschreven code "HB" in de kantlijn</t>
        </is>
      </c>
      <c r="AA131" s="9" t="inlineStr"/>
      <c r="AB131" s="2" t="inlineStr">
        <is>
          <t>SOK-AMS-PAPAVERWEG</t>
        </is>
      </c>
      <c r="AC131" s="2" t="inlineStr"/>
      <c r="AD131" s="2" t="n">
        <v>2</v>
      </c>
    </row>
    <row r="132">
      <c r="A132" s="2" t="inlineStr">
        <is>
          <t>SOK-AMS-2026-131</t>
        </is>
      </c>
      <c r="B132" s="2" t="inlineStr">
        <is>
          <t>Hotbox werkzaamheden</t>
        </is>
      </c>
      <c r="C132" s="2" t="inlineStr">
        <is>
          <t>Papaverweg</t>
        </is>
      </c>
      <c r="D132" s="2" t="inlineStr">
        <is>
          <t>Asfalt Schades Heel Noord</t>
        </is>
      </c>
      <c r="E132" s="2" t="inlineStr">
        <is>
          <t>Paverweg 18. 00 x 0.30</t>
        </is>
      </c>
      <c r="F132" s="2" t="inlineStr"/>
      <c r="G132" s="2" t="n">
        <v>0</v>
      </c>
      <c r="H132" s="7" t="n"/>
      <c r="I132" s="7" t="n"/>
      <c r="J132" s="7" t="n"/>
      <c r="K132" s="2">
        <f>INDEX(Tarieven!$A$4:$E$7,MATCH($B132,Tarieven!$A$4:$A$7,0),2)</f>
        <v/>
      </c>
      <c r="L132" s="7">
        <f>IF($K132="plek",$G132,IF($K132="m1",$H132,$J132))</f>
        <v/>
      </c>
      <c r="M132" s="8">
        <f>INDEX(Tarieven!$A$4:$E$7,MATCH($B132,Tarieven!$A$4:$A$7,0),3)</f>
        <v/>
      </c>
      <c r="N132" s="8">
        <f>INDEX(Tarieven!$A$4:$E$7,MATCH($B132,Tarieven!$A$4:$A$7,0),4)</f>
        <v/>
      </c>
      <c r="O132" s="8">
        <f>IFERROR($L132*$M132,0)</f>
        <v/>
      </c>
      <c r="P132" s="8">
        <f>IFERROR($L132*$N132,0)</f>
        <v/>
      </c>
      <c r="Q132" s="2" t="inlineStr">
        <is>
          <t>normaal</t>
        </is>
      </c>
      <c r="R132" s="2" t="inlineStr">
        <is>
          <t>2026-08-10</t>
        </is>
      </c>
      <c r="S132" s="2" t="n">
        <v>33</v>
      </c>
      <c r="T132" s="2" t="n">
        <v>52.39728</v>
      </c>
      <c r="U132" s="2" t="n">
        <v>4.90444</v>
      </c>
      <c r="V132" s="2" t="inlineStr">
        <is>
          <t>Papaverweg 177, Amsterdam</t>
        </is>
      </c>
      <c r="W132" s="2" t="inlineStr">
        <is>
          <t>Asfalt Schouw NOORD — 26 augustus 2026</t>
        </is>
      </c>
      <c r="X132" s="2" t="inlineStr">
        <is>
          <t>46/49</t>
        </is>
      </c>
      <c r="Y132" s="2" t="inlineStr">
        <is>
          <t>131-papaverweg.jpg</t>
        </is>
      </c>
      <c r="Z132" s="9" t="inlineStr">
        <is>
          <t>handgeschreven code "HB" in de kantlijn</t>
        </is>
      </c>
      <c r="AA132" s="9" t="inlineStr">
        <is>
          <t>geen maatvoering in de bron</t>
        </is>
      </c>
      <c r="AB132" s="2" t="inlineStr">
        <is>
          <t>SOK-AMS-PAPAVERWEG</t>
        </is>
      </c>
      <c r="AC132" s="2" t="inlineStr"/>
      <c r="AD132" s="2" t="n">
        <v>1</v>
      </c>
    </row>
    <row r="133">
      <c r="A133" s="2" t="inlineStr">
        <is>
          <t>SOK-AMS-2026-132</t>
        </is>
      </c>
      <c r="B133" s="2" t="inlineStr">
        <is>
          <t>Hotbox werkzaamheden</t>
        </is>
      </c>
      <c r="C133" s="2" t="inlineStr">
        <is>
          <t>Papaverweg</t>
        </is>
      </c>
      <c r="D133" s="2" t="inlineStr">
        <is>
          <t>Noordelijke IJ-Oevers-West</t>
        </is>
      </c>
      <c r="E133" s="2" t="inlineStr">
        <is>
          <t>Papaverweg 13.00 x 1.20</t>
        </is>
      </c>
      <c r="F133" s="2" t="inlineStr">
        <is>
          <t>13,00 × 1,20 m  (samen 15,6 m²)</t>
        </is>
      </c>
      <c r="G133" s="2" t="n">
        <v>1</v>
      </c>
      <c r="H133" s="7" t="n">
        <v>13</v>
      </c>
      <c r="I133" s="7" t="n">
        <v>1.2</v>
      </c>
      <c r="J133" s="7" t="n">
        <v>15.6</v>
      </c>
      <c r="K133" s="2">
        <f>INDEX(Tarieven!$A$4:$E$7,MATCH($B133,Tarieven!$A$4:$A$7,0),2)</f>
        <v/>
      </c>
      <c r="L133" s="7">
        <f>IF($K133="plek",$G133,IF($K133="m1",$H133,$J133))</f>
        <v/>
      </c>
      <c r="M133" s="8">
        <f>INDEX(Tarieven!$A$4:$E$7,MATCH($B133,Tarieven!$A$4:$A$7,0),3)</f>
        <v/>
      </c>
      <c r="N133" s="8">
        <f>INDEX(Tarieven!$A$4:$E$7,MATCH($B133,Tarieven!$A$4:$A$7,0),4)</f>
        <v/>
      </c>
      <c r="O133" s="8">
        <f>IFERROR($L133*$M133,0)</f>
        <v/>
      </c>
      <c r="P133" s="8">
        <f>IFERROR($L133*$N133,0)</f>
        <v/>
      </c>
      <c r="Q133" s="2" t="inlineStr">
        <is>
          <t>normaal</t>
        </is>
      </c>
      <c r="R133" s="2" t="inlineStr">
        <is>
          <t>2026-08-10</t>
        </is>
      </c>
      <c r="S133" s="2" t="n">
        <v>33</v>
      </c>
      <c r="T133" s="2" t="n">
        <v>52.39668</v>
      </c>
      <c r="U133" s="2" t="n">
        <v>4.90654</v>
      </c>
      <c r="V133" s="2" t="inlineStr">
        <is>
          <t>Papaverhof 4, Amsterdam</t>
        </is>
      </c>
      <c r="W133" s="2" t="inlineStr">
        <is>
          <t>Asfalt Schouw NOORD — 26 augustus 2026</t>
        </is>
      </c>
      <c r="X133" s="2" t="inlineStr">
        <is>
          <t>46/49</t>
        </is>
      </c>
      <c r="Y133" s="2" t="inlineStr">
        <is>
          <t>132-papaverweg.jpg</t>
        </is>
      </c>
      <c r="Z133" s="9" t="inlineStr">
        <is>
          <t>handgeschreven code "HB" in de kantlijn</t>
        </is>
      </c>
      <c r="AA133" s="9" t="inlineStr"/>
      <c r="AB133" s="2" t="inlineStr">
        <is>
          <t>SOK-AMS-PAPAVERWEG</t>
        </is>
      </c>
      <c r="AC133" s="2" t="inlineStr"/>
      <c r="AD133" s="2" t="n">
        <v>1</v>
      </c>
    </row>
    <row r="134">
      <c r="A134" s="2" t="inlineStr">
        <is>
          <t>SOK-AMS-2026-133</t>
        </is>
      </c>
      <c r="B134" s="2" t="inlineStr">
        <is>
          <t>Asfalt machinaal</t>
        </is>
      </c>
      <c r="C134" s="2" t="inlineStr">
        <is>
          <t>Papaverweg</t>
        </is>
      </c>
      <c r="D134" s="2" t="inlineStr">
        <is>
          <t>Noordelijke IJ-Oevers-West</t>
        </is>
      </c>
      <c r="E134" s="2" t="inlineStr">
        <is>
          <t>Papaverweg/ fonteinkruidstr. Foto 1 2.40 x 1.50 + 4.00 x 1.60. Foto 2. 16.00 x 6.00</t>
        </is>
      </c>
      <c r="F134" s="2" t="inlineStr">
        <is>
          <t>2,40 × 1,50 m + 4,00 × 1,60 m + 16,00 × 6,00 m  (samen 106,0 m²)</t>
        </is>
      </c>
      <c r="G134" s="2" t="n">
        <v>3</v>
      </c>
      <c r="H134" s="7" t="n">
        <v>22.4</v>
      </c>
      <c r="I134" s="7" t="n">
        <v>1.5</v>
      </c>
      <c r="J134" s="7" t="n">
        <v>106</v>
      </c>
      <c r="K134" s="2">
        <f>INDEX(Tarieven!$A$4:$E$7,MATCH($B134,Tarieven!$A$4:$A$7,0),2)</f>
        <v/>
      </c>
      <c r="L134" s="7">
        <f>IF($K134="plek",$G134,IF($K134="m1",$H134,$J134))</f>
        <v/>
      </c>
      <c r="M134" s="8">
        <f>INDEX(Tarieven!$A$4:$E$7,MATCH($B134,Tarieven!$A$4:$A$7,0),3)</f>
        <v/>
      </c>
      <c r="N134" s="8">
        <f>INDEX(Tarieven!$A$4:$E$7,MATCH($B134,Tarieven!$A$4:$A$7,0),4)</f>
        <v/>
      </c>
      <c r="O134" s="8">
        <f>IFERROR($L134*$M134,0)</f>
        <v/>
      </c>
      <c r="P134" s="8">
        <f>IFERROR($L134*$N134,0)</f>
        <v/>
      </c>
      <c r="Q134" s="2" t="inlineStr">
        <is>
          <t>normaal</t>
        </is>
      </c>
      <c r="R134" s="2" t="inlineStr">
        <is>
          <t>2026-08-10</t>
        </is>
      </c>
      <c r="S134" s="2" t="n">
        <v>33</v>
      </c>
      <c r="T134" s="2" t="n">
        <v>52.39618</v>
      </c>
      <c r="U134" s="2" t="n">
        <v>4.90695</v>
      </c>
      <c r="V134" s="2" t="inlineStr">
        <is>
          <t>Papaverweg 37B, Amsterdam</t>
        </is>
      </c>
      <c r="W134" s="2" t="inlineStr">
        <is>
          <t>Asfalt Schouw NOORD — 26 augustus 2026</t>
        </is>
      </c>
      <c r="X134" s="2" t="inlineStr">
        <is>
          <t>46/49</t>
        </is>
      </c>
      <c r="Y134" s="2" t="inlineStr">
        <is>
          <t>133-papaverweg.jpg</t>
        </is>
      </c>
      <c r="Z134" s="9" t="inlineStr">
        <is>
          <t>handgeschreven code "AS" in de kantlijn</t>
        </is>
      </c>
      <c r="AA134" s="9" t="inlineStr"/>
      <c r="AB134" s="2" t="inlineStr">
        <is>
          <t>SOK-AMS-PAPAVERWEG</t>
        </is>
      </c>
      <c r="AC134" s="2" t="inlineStr"/>
      <c r="AD134" s="2" t="n">
        <v>3</v>
      </c>
    </row>
    <row r="135">
      <c r="A135" s="2" t="inlineStr">
        <is>
          <t>SOK-AMS-2026-134</t>
        </is>
      </c>
      <c r="B135" s="2" t="inlineStr">
        <is>
          <t>Hotbox werkzaamheden</t>
        </is>
      </c>
      <c r="C135" s="2" t="inlineStr">
        <is>
          <t>Papaverweg</t>
        </is>
      </c>
      <c r="D135" s="2" t="inlineStr">
        <is>
          <t>Noordelijke IJ-Oevers-West</t>
        </is>
      </c>
      <c r="E135" s="2" t="inlineStr">
        <is>
          <t>Papaverweg nr. 34 1.80 x 1.40</t>
        </is>
      </c>
      <c r="F135" s="2" t="inlineStr">
        <is>
          <t>1,80 × 1,40 m  (samen 2,5 m²)</t>
        </is>
      </c>
      <c r="G135" s="2" t="n">
        <v>1</v>
      </c>
      <c r="H135" s="7" t="n">
        <v>1.8</v>
      </c>
      <c r="I135" s="7" t="n">
        <v>1.4</v>
      </c>
      <c r="J135" s="7" t="n">
        <v>2.52</v>
      </c>
      <c r="K135" s="2">
        <f>INDEX(Tarieven!$A$4:$E$7,MATCH($B135,Tarieven!$A$4:$A$7,0),2)</f>
        <v/>
      </c>
      <c r="L135" s="7">
        <f>IF($K135="plek",$G135,IF($K135="m1",$H135,$J135))</f>
        <v/>
      </c>
      <c r="M135" s="8">
        <f>INDEX(Tarieven!$A$4:$E$7,MATCH($B135,Tarieven!$A$4:$A$7,0),3)</f>
        <v/>
      </c>
      <c r="N135" s="8">
        <f>INDEX(Tarieven!$A$4:$E$7,MATCH($B135,Tarieven!$A$4:$A$7,0),4)</f>
        <v/>
      </c>
      <c r="O135" s="8">
        <f>IFERROR($L135*$M135,0)</f>
        <v/>
      </c>
      <c r="P135" s="8">
        <f>IFERROR($L135*$N135,0)</f>
        <v/>
      </c>
      <c r="Q135" s="2" t="inlineStr">
        <is>
          <t>normaal</t>
        </is>
      </c>
      <c r="R135" s="2" t="inlineStr">
        <is>
          <t>2026-08-10</t>
        </is>
      </c>
      <c r="S135" s="2" t="n">
        <v>33</v>
      </c>
      <c r="T135" s="2" t="n">
        <v>52.39546</v>
      </c>
      <c r="U135" s="2" t="n">
        <v>4.90868</v>
      </c>
      <c r="V135" s="2" t="inlineStr">
        <is>
          <t>Struisgrasstraat 1A, Amsterdam</t>
        </is>
      </c>
      <c r="W135" s="2" t="inlineStr">
        <is>
          <t>Asfalt Schouw NOORD — 26 augustus 2026</t>
        </is>
      </c>
      <c r="X135" s="2" t="inlineStr">
        <is>
          <t>47/49</t>
        </is>
      </c>
      <c r="Y135" s="2" t="inlineStr">
        <is>
          <t>134-papaverweg.jpg</t>
        </is>
      </c>
      <c r="Z135" s="9" t="inlineStr">
        <is>
          <t>handgeschreven code "HB" in de kantlijn</t>
        </is>
      </c>
      <c r="AA135" s="9" t="inlineStr"/>
      <c r="AB135" s="2" t="inlineStr">
        <is>
          <t>SOK-AMS-PAPAVERWEG</t>
        </is>
      </c>
      <c r="AC135" s="2" t="inlineStr"/>
      <c r="AD135" s="2" t="n">
        <v>1</v>
      </c>
    </row>
    <row r="136">
      <c r="A136" s="2" t="inlineStr">
        <is>
          <t>SOK-AMS-2026-135</t>
        </is>
      </c>
      <c r="B136" s="2" t="inlineStr">
        <is>
          <t>Hotbox werkzaamheden</t>
        </is>
      </c>
      <c r="C136" s="2" t="inlineStr">
        <is>
          <t>Papaverweg</t>
        </is>
      </c>
      <c r="D136" s="2" t="inlineStr">
        <is>
          <t>Noordelijke IJ-Oevers-West</t>
        </is>
      </c>
      <c r="E136" s="2" t="inlineStr">
        <is>
          <t>Papaverweg Kropaarstr. 6.00 x 1.20</t>
        </is>
      </c>
      <c r="F136" s="2" t="inlineStr">
        <is>
          <t>6,00 × 1,20 m  (samen 7,2 m²)</t>
        </is>
      </c>
      <c r="G136" s="2" t="n">
        <v>1</v>
      </c>
      <c r="H136" s="7" t="n">
        <v>6</v>
      </c>
      <c r="I136" s="7" t="n">
        <v>1.2</v>
      </c>
      <c r="J136" s="7" t="n">
        <v>7.2</v>
      </c>
      <c r="K136" s="2">
        <f>INDEX(Tarieven!$A$4:$E$7,MATCH($B136,Tarieven!$A$4:$A$7,0),2)</f>
        <v/>
      </c>
      <c r="L136" s="7">
        <f>IF($K136="plek",$G136,IF($K136="m1",$H136,$J136))</f>
        <v/>
      </c>
      <c r="M136" s="8">
        <f>INDEX(Tarieven!$A$4:$E$7,MATCH($B136,Tarieven!$A$4:$A$7,0),3)</f>
        <v/>
      </c>
      <c r="N136" s="8">
        <f>INDEX(Tarieven!$A$4:$E$7,MATCH($B136,Tarieven!$A$4:$A$7,0),4)</f>
        <v/>
      </c>
      <c r="O136" s="8">
        <f>IFERROR($L136*$M136,0)</f>
        <v/>
      </c>
      <c r="P136" s="8">
        <f>IFERROR($L136*$N136,0)</f>
        <v/>
      </c>
      <c r="Q136" s="2" t="inlineStr">
        <is>
          <t>normaal</t>
        </is>
      </c>
      <c r="R136" s="2" t="inlineStr">
        <is>
          <t>2026-08-10</t>
        </is>
      </c>
      <c r="S136" s="2" t="n">
        <v>33</v>
      </c>
      <c r="T136" s="2" t="n">
        <v>52.3949</v>
      </c>
      <c r="U136" s="2" t="n">
        <v>4.91092</v>
      </c>
      <c r="V136" s="2" t="inlineStr">
        <is>
          <t>Papaverweg 18, Amsterdam</t>
        </is>
      </c>
      <c r="W136" s="2" t="inlineStr">
        <is>
          <t>Asfalt Schouw NOORD — 26 augustus 2026</t>
        </is>
      </c>
      <c r="X136" s="2" t="inlineStr">
        <is>
          <t>47/49</t>
        </is>
      </c>
      <c r="Y136" s="2" t="inlineStr">
        <is>
          <t>135-papaverweg.jpg</t>
        </is>
      </c>
      <c r="Z136" s="9" t="inlineStr">
        <is>
          <t>handgeschreven code "HB" in de kantlijn</t>
        </is>
      </c>
      <c r="AA136" s="9" t="inlineStr"/>
      <c r="AB136" s="2" t="inlineStr">
        <is>
          <t>SOK-AMS-PAPAVERWEG</t>
        </is>
      </c>
      <c r="AC136" s="2" t="inlineStr"/>
      <c r="AD136" s="2" t="n">
        <v>2</v>
      </c>
    </row>
    <row r="137">
      <c r="A137" s="2" t="inlineStr">
        <is>
          <t>SOK-AMS-2026-136</t>
        </is>
      </c>
      <c r="B137" s="2" t="inlineStr">
        <is>
          <t>Hotbox werkzaamheden</t>
        </is>
      </c>
      <c r="C137" s="2" t="inlineStr">
        <is>
          <t>Papaverweg</t>
        </is>
      </c>
      <c r="D137" s="2" t="inlineStr">
        <is>
          <t>Noordelijke IJ-Oevers-West</t>
        </is>
      </c>
      <c r="E137" s="2" t="inlineStr">
        <is>
          <t>Papaverweg v/a nr 80. Foto 1 3.30 x 0.60</t>
        </is>
      </c>
      <c r="F137" s="2" t="inlineStr">
        <is>
          <t>3,30 × 0,60 m  (samen 2,0 m²)</t>
        </is>
      </c>
      <c r="G137" s="2" t="n">
        <v>1</v>
      </c>
      <c r="H137" s="7" t="n">
        <v>3.3</v>
      </c>
      <c r="I137" s="7" t="n">
        <v>0.6</v>
      </c>
      <c r="J137" s="7" t="n">
        <v>1.98</v>
      </c>
      <c r="K137" s="2">
        <f>INDEX(Tarieven!$A$4:$E$7,MATCH($B137,Tarieven!$A$4:$A$7,0),2)</f>
        <v/>
      </c>
      <c r="L137" s="7">
        <f>IF($K137="plek",$G137,IF($K137="m1",$H137,$J137))</f>
        <v/>
      </c>
      <c r="M137" s="8">
        <f>INDEX(Tarieven!$A$4:$E$7,MATCH($B137,Tarieven!$A$4:$A$7,0),3)</f>
        <v/>
      </c>
      <c r="N137" s="8">
        <f>INDEX(Tarieven!$A$4:$E$7,MATCH($B137,Tarieven!$A$4:$A$7,0),4)</f>
        <v/>
      </c>
      <c r="O137" s="8">
        <f>IFERROR($L137*$M137,0)</f>
        <v/>
      </c>
      <c r="P137" s="8">
        <f>IFERROR($L137*$N137,0)</f>
        <v/>
      </c>
      <c r="Q137" s="2" t="inlineStr">
        <is>
          <t>normaal</t>
        </is>
      </c>
      <c r="R137" s="2" t="inlineStr">
        <is>
          <t>2026-08-10</t>
        </is>
      </c>
      <c r="S137" s="2" t="n">
        <v>33</v>
      </c>
      <c r="T137" s="2" t="n">
        <v>52.3949</v>
      </c>
      <c r="U137" s="2" t="n">
        <v>4.91092</v>
      </c>
      <c r="V137" s="2" t="inlineStr">
        <is>
          <t>Papaverweg 18, Amsterdam</t>
        </is>
      </c>
      <c r="W137" s="2" t="inlineStr">
        <is>
          <t>Asfalt Schouw NOORD — 26 augustus 2026</t>
        </is>
      </c>
      <c r="X137" s="2" t="inlineStr">
        <is>
          <t>47/49</t>
        </is>
      </c>
      <c r="Y137" s="2" t="inlineStr">
        <is>
          <t>136-papaverweg.jpg</t>
        </is>
      </c>
      <c r="Z137" s="9" t="inlineStr">
        <is>
          <t>handgeschreven code "HB" in de kantlijn</t>
        </is>
      </c>
      <c r="AA137" s="9" t="inlineStr"/>
      <c r="AB137" s="2" t="inlineStr">
        <is>
          <t>SOK-AMS-PAPAVERWEG</t>
        </is>
      </c>
      <c r="AC137" s="2" t="inlineStr"/>
      <c r="AD137" s="2" t="n">
        <v>1</v>
      </c>
    </row>
    <row r="138">
      <c r="A138" s="2" t="inlineStr">
        <is>
          <t>SOK-AMS-2026-137</t>
        </is>
      </c>
      <c r="B138" s="2" t="inlineStr">
        <is>
          <t>Asfalt – nog in te delen</t>
        </is>
      </c>
      <c r="C138" s="2" t="inlineStr">
        <is>
          <t>Staghof</t>
        </is>
      </c>
      <c r="D138" s="2" t="inlineStr"/>
      <c r="E138" s="2" t="inlineStr">
        <is>
          <t>Staghof, op locatie besproken of to wijken van de 45 graden ivm boom. Op klik melding stond data kabel gemeld+ kabel lichtmast. Extra bandenlijn aanpassen, gootlaag haaks opzetten. Geen boom bescherming aangebracht</t>
        </is>
      </c>
      <c r="F138" s="2" t="inlineStr"/>
      <c r="G138" s="2" t="n">
        <v>0</v>
      </c>
      <c r="H138" s="7" t="n"/>
      <c r="I138" s="7" t="n"/>
      <c r="J138" s="7" t="n"/>
      <c r="K138" s="2">
        <f>INDEX(Tarieven!$A$4:$E$7,MATCH($B138,Tarieven!$A$4:$A$7,0),2)</f>
        <v/>
      </c>
      <c r="L138" s="7">
        <f>IF($K138="plek",$G138,IF($K138="m1",$H138,$J138))</f>
        <v/>
      </c>
      <c r="M138" s="8">
        <f>INDEX(Tarieven!$A$4:$E$7,MATCH($B138,Tarieven!$A$4:$A$7,0),3)</f>
        <v/>
      </c>
      <c r="N138" s="8">
        <f>INDEX(Tarieven!$A$4:$E$7,MATCH($B138,Tarieven!$A$4:$A$7,0),4)</f>
        <v/>
      </c>
      <c r="O138" s="8">
        <f>IFERROR($L138*$M138,0)</f>
        <v/>
      </c>
      <c r="P138" s="8">
        <f>IFERROR($L138*$N138,0)</f>
        <v/>
      </c>
      <c r="Q138" s="2" t="inlineStr">
        <is>
          <t>normaal</t>
        </is>
      </c>
      <c r="R138" s="2" t="inlineStr">
        <is>
          <t>2026-08-18</t>
        </is>
      </c>
      <c r="S138" s="2" t="n">
        <v>34</v>
      </c>
      <c r="T138" s="2" t="n">
        <v>52.41229</v>
      </c>
      <c r="U138" s="2" t="n">
        <v>4.92181</v>
      </c>
      <c r="V138" s="2" t="inlineStr">
        <is>
          <t>Staghof 149, Amsterdam</t>
        </is>
      </c>
      <c r="W138" s="2" t="inlineStr">
        <is>
          <t>Asfalt Schouw NOORD — 26 augustus 2026</t>
        </is>
      </c>
      <c r="X138" s="2" t="inlineStr">
        <is>
          <t>48/49</t>
        </is>
      </c>
      <c r="Y138" s="2" t="inlineStr">
        <is>
          <t>137-staghof.jpg</t>
        </is>
      </c>
      <c r="Z138" s="9" t="inlineStr">
        <is>
          <t>in het rapport groen doorgestreept — werksoort onduidelijk</t>
        </is>
      </c>
      <c r="AA138" s="9" t="inlineStr">
        <is>
          <t>geen maatvoering in de bron</t>
        </is>
      </c>
      <c r="AB138" s="2" t="inlineStr">
        <is>
          <t>SOK-AMS-STAGHOF</t>
        </is>
      </c>
      <c r="AC138" s="2" t="inlineStr"/>
      <c r="AD138" s="2" t="n">
        <v>4</v>
      </c>
    </row>
    <row r="139">
      <c r="A139" s="2" t="inlineStr">
        <is>
          <t>SOK-AMS-2026-138</t>
        </is>
      </c>
      <c r="B139" s="2" t="inlineStr">
        <is>
          <t>Hotbox werkzaamheden</t>
        </is>
      </c>
      <c r="C139" s="2" t="inlineStr">
        <is>
          <t>Astasiastraat</t>
        </is>
      </c>
      <c r="D139" s="2" t="inlineStr">
        <is>
          <t>Kadoelen</t>
        </is>
      </c>
      <c r="E139" s="2" t="inlineStr">
        <is>
          <t>Antasiastr. t.h.v. Nr. 1 foto 1 5.00 x 0.60 foto 2 5.00 x 0.90 foto 3.60 x 2.30 + 1.60 x 2.30</t>
        </is>
      </c>
      <c r="F139" s="2" t="inlineStr">
        <is>
          <t>5,00 × 0,60 m + 5,00 × 0,90 m + 3,60 × 2,30 m + 2,30 × 1,60 m  (samen 19,5 m²)</t>
        </is>
      </c>
      <c r="G139" s="2" t="n">
        <v>4</v>
      </c>
      <c r="H139" s="7" t="n">
        <v>15.9</v>
      </c>
      <c r="I139" s="7" t="n">
        <v>0.6</v>
      </c>
      <c r="J139" s="7" t="n">
        <v>19.46</v>
      </c>
      <c r="K139" s="2">
        <f>INDEX(Tarieven!$A$4:$E$7,MATCH($B139,Tarieven!$A$4:$A$7,0),2)</f>
        <v/>
      </c>
      <c r="L139" s="7">
        <f>IF($K139="plek",$G139,IF($K139="m1",$H139,$J139))</f>
        <v/>
      </c>
      <c r="M139" s="8">
        <f>INDEX(Tarieven!$A$4:$E$7,MATCH($B139,Tarieven!$A$4:$A$7,0),3)</f>
        <v/>
      </c>
      <c r="N139" s="8">
        <f>INDEX(Tarieven!$A$4:$E$7,MATCH($B139,Tarieven!$A$4:$A$7,0),4)</f>
        <v/>
      </c>
      <c r="O139" s="8">
        <f>IFERROR($L139*$M139,0)</f>
        <v/>
      </c>
      <c r="P139" s="8">
        <f>IFERROR($L139*$N139,0)</f>
        <v/>
      </c>
      <c r="Q139" s="2" t="inlineStr">
        <is>
          <t>normaal</t>
        </is>
      </c>
      <c r="R139" s="2" t="inlineStr">
        <is>
          <t>2026-08-18</t>
        </is>
      </c>
      <c r="S139" s="2" t="n">
        <v>34</v>
      </c>
      <c r="T139" s="2" t="n">
        <v>52.41847</v>
      </c>
      <c r="U139" s="2" t="n">
        <v>4.90592</v>
      </c>
      <c r="V139" s="2" t="inlineStr">
        <is>
          <t>Astasiastraat 2, Amsterdam</t>
        </is>
      </c>
      <c r="W139" s="2" t="inlineStr">
        <is>
          <t>Asfalt Schouw NOORD — 26 augustus 2026</t>
        </is>
      </c>
      <c r="X139" s="2" t="inlineStr">
        <is>
          <t>48/49</t>
        </is>
      </c>
      <c r="Y139" s="2" t="inlineStr">
        <is>
          <t>138-astasiastraat.jpg</t>
        </is>
      </c>
      <c r="Z139" s="9" t="inlineStr">
        <is>
          <t>handgeschreven code "HB" in de kantlijn</t>
        </is>
      </c>
      <c r="AA139" s="9" t="inlineStr"/>
      <c r="AB139" s="2" t="inlineStr">
        <is>
          <t>SOK-AMS-ASTASIASTRAAT</t>
        </is>
      </c>
      <c r="AC139" s="2" t="inlineStr"/>
      <c r="AD139" s="2" t="n">
        <v>3</v>
      </c>
    </row>
    <row r="140">
      <c r="A140" s="2" t="inlineStr">
        <is>
          <t>SOK-AMS-2026-139</t>
        </is>
      </c>
      <c r="B140" s="2" t="inlineStr">
        <is>
          <t>Asfalt – nog in te delen</t>
        </is>
      </c>
      <c r="C140" s="2" t="inlineStr">
        <is>
          <t>Astasiastraat</t>
        </is>
      </c>
      <c r="D140" s="2" t="inlineStr">
        <is>
          <t>Kadoelen</t>
        </is>
      </c>
      <c r="E140" s="2" t="inlineStr">
        <is>
          <t>Astasiastr. nr 15. 5.50 x 5.00</t>
        </is>
      </c>
      <c r="F140" s="2" t="inlineStr">
        <is>
          <t>5,50 × 5,00 m  (samen 27,5 m²)</t>
        </is>
      </c>
      <c r="G140" s="2" t="n">
        <v>1</v>
      </c>
      <c r="H140" s="7" t="n">
        <v>5.5</v>
      </c>
      <c r="I140" s="7" t="n">
        <v>5</v>
      </c>
      <c r="J140" s="7" t="n">
        <v>27.5</v>
      </c>
      <c r="K140" s="2">
        <f>INDEX(Tarieven!$A$4:$E$7,MATCH($B140,Tarieven!$A$4:$A$7,0),2)</f>
        <v/>
      </c>
      <c r="L140" s="7">
        <f>IF($K140="plek",$G140,IF($K140="m1",$H140,$J140))</f>
        <v/>
      </c>
      <c r="M140" s="8">
        <f>INDEX(Tarieven!$A$4:$E$7,MATCH($B140,Tarieven!$A$4:$A$7,0),3)</f>
        <v/>
      </c>
      <c r="N140" s="8">
        <f>INDEX(Tarieven!$A$4:$E$7,MATCH($B140,Tarieven!$A$4:$A$7,0),4)</f>
        <v/>
      </c>
      <c r="O140" s="8">
        <f>IFERROR($L140*$M140,0)</f>
        <v/>
      </c>
      <c r="P140" s="8">
        <f>IFERROR($L140*$N140,0)</f>
        <v/>
      </c>
      <c r="Q140" s="2" t="inlineStr">
        <is>
          <t>normaal</t>
        </is>
      </c>
      <c r="R140" s="2" t="inlineStr">
        <is>
          <t>2026-08-18</t>
        </is>
      </c>
      <c r="S140" s="2" t="n">
        <v>34</v>
      </c>
      <c r="T140" s="2" t="n">
        <v>52.41847</v>
      </c>
      <c r="U140" s="2" t="n">
        <v>4.90488</v>
      </c>
      <c r="V140" s="2" t="inlineStr">
        <is>
          <t>Astasiastraat 15HS, Amsterdam</t>
        </is>
      </c>
      <c r="W140" s="2" t="inlineStr">
        <is>
          <t>Asfalt Schouw NOORD — 26 augustus 2026</t>
        </is>
      </c>
      <c r="X140" s="2" t="inlineStr">
        <is>
          <t>48/49</t>
        </is>
      </c>
      <c r="Y140" s="2" t="inlineStr">
        <is>
          <t>139-astasiastraat.jpg</t>
        </is>
      </c>
      <c r="Z140" s="9" t="inlineStr">
        <is>
          <t>geen code in de kantlijn en geen asfaltsoort in de tekst</t>
        </is>
      </c>
      <c r="AA140" s="9" t="inlineStr"/>
      <c r="AB140" s="2" t="inlineStr">
        <is>
          <t>SOK-AMS-ASTASIASTRAAT</t>
        </is>
      </c>
      <c r="AC140" s="2" t="inlineStr"/>
      <c r="AD140" s="2" t="n">
        <v>1</v>
      </c>
    </row>
    <row r="141">
      <c r="A141" s="2" t="inlineStr">
        <is>
          <t>SOK-AMS-2026-140</t>
        </is>
      </c>
      <c r="B141" s="2" t="inlineStr">
        <is>
          <t>Asfalt – nog in te delen</t>
        </is>
      </c>
      <c r="C141" s="2" t="inlineStr">
        <is>
          <t>Eudorinastraat</t>
        </is>
      </c>
      <c r="D141" s="2" t="inlineStr">
        <is>
          <t>Kadoelen</t>
        </is>
      </c>
      <c r="E141" s="2" t="inlineStr">
        <is>
          <t>Eudorinastr. vanaf nr. 2 tot nr 9. Foto 1 3.00 x 0.80. Foto 2 4.00 x 0.70 foto 3 5.50 x 4.80</t>
        </is>
      </c>
      <c r="F141" s="2" t="inlineStr">
        <is>
          <t>3,00 × 0,80 m + 4,00 × 0,70 m + 5,50 × 4,80 m  (samen 31,6 m²)</t>
        </is>
      </c>
      <c r="G141" s="2" t="n">
        <v>3</v>
      </c>
      <c r="H141" s="7" t="n">
        <v>12.5</v>
      </c>
      <c r="I141" s="7" t="n">
        <v>0.7</v>
      </c>
      <c r="J141" s="7" t="n">
        <v>31.6</v>
      </c>
      <c r="K141" s="2">
        <f>INDEX(Tarieven!$A$4:$E$7,MATCH($B141,Tarieven!$A$4:$A$7,0),2)</f>
        <v/>
      </c>
      <c r="L141" s="7">
        <f>IF($K141="plek",$G141,IF($K141="m1",$H141,$J141))</f>
        <v/>
      </c>
      <c r="M141" s="8">
        <f>INDEX(Tarieven!$A$4:$E$7,MATCH($B141,Tarieven!$A$4:$A$7,0),3)</f>
        <v/>
      </c>
      <c r="N141" s="8">
        <f>INDEX(Tarieven!$A$4:$E$7,MATCH($B141,Tarieven!$A$4:$A$7,0),4)</f>
        <v/>
      </c>
      <c r="O141" s="8">
        <f>IFERROR($L141*$M141,0)</f>
        <v/>
      </c>
      <c r="P141" s="8">
        <f>IFERROR($L141*$N141,0)</f>
        <v/>
      </c>
      <c r="Q141" s="2" t="inlineStr">
        <is>
          <t>normaal</t>
        </is>
      </c>
      <c r="R141" s="2" t="inlineStr">
        <is>
          <t>2026-08-18</t>
        </is>
      </c>
      <c r="S141" s="2" t="n">
        <v>34</v>
      </c>
      <c r="T141" s="2" t="n">
        <v>52.41796</v>
      </c>
      <c r="U141" s="2" t="n">
        <v>4.90399</v>
      </c>
      <c r="V141" s="2" t="inlineStr">
        <is>
          <t>Eudorinastraat 2, Amsterdam</t>
        </is>
      </c>
      <c r="W141" s="2" t="inlineStr">
        <is>
          <t>Asfalt Schouw NOORD — 26 augustus 2026</t>
        </is>
      </c>
      <c r="X141" s="2" t="inlineStr">
        <is>
          <t>49/49</t>
        </is>
      </c>
      <c r="Y141" s="2" t="inlineStr">
        <is>
          <t>140-eudorinastraat.jpg</t>
        </is>
      </c>
      <c r="Z141" s="9" t="inlineStr">
        <is>
          <t>geen code in de kantlijn en geen asfaltsoort in de tekst</t>
        </is>
      </c>
      <c r="AA141" s="9" t="inlineStr"/>
      <c r="AB141" s="2" t="inlineStr">
        <is>
          <t>SOK-AMS-EUDORINASTRAAT</t>
        </is>
      </c>
      <c r="AC141" s="2" t="inlineStr"/>
      <c r="AD141" s="2" t="n">
        <v>3</v>
      </c>
    </row>
    <row r="142">
      <c r="A142" s="2" t="inlineStr">
        <is>
          <t>SOK-AMS-2026-141</t>
        </is>
      </c>
      <c r="B142" s="2" t="inlineStr">
        <is>
          <t>Hotbox werkzaamheden</t>
        </is>
      </c>
      <c r="C142" s="2" t="inlineStr">
        <is>
          <t>Meteorenweg</t>
        </is>
      </c>
      <c r="D142" s="2" t="inlineStr"/>
      <c r="E142" s="2" t="inlineStr">
        <is>
          <t>Hotbox Werkzaamheden Asfalt Fietspad. 0,8 x 1,8</t>
        </is>
      </c>
      <c r="F142" s="2" t="inlineStr">
        <is>
          <t>1,80 × 0,80 m  (samen 1,4 m²)</t>
        </is>
      </c>
      <c r="G142" s="2" t="n">
        <v>1</v>
      </c>
      <c r="H142" s="7" t="n">
        <v>1.8</v>
      </c>
      <c r="I142" s="7" t="n">
        <v>0.8</v>
      </c>
      <c r="J142" s="7" t="n">
        <v>1.44</v>
      </c>
      <c r="K142" s="2">
        <f>INDEX(Tarieven!$A$4:$E$7,MATCH($B142,Tarieven!$A$4:$A$7,0),2)</f>
        <v/>
      </c>
      <c r="L142" s="7">
        <f>IF($K142="plek",$G142,IF($K142="m1",$H142,$J142))</f>
        <v/>
      </c>
      <c r="M142" s="8">
        <f>INDEX(Tarieven!$A$4:$E$7,MATCH($B142,Tarieven!$A$4:$A$7,0),3)</f>
        <v/>
      </c>
      <c r="N142" s="8">
        <f>INDEX(Tarieven!$A$4:$E$7,MATCH($B142,Tarieven!$A$4:$A$7,0),4)</f>
        <v/>
      </c>
      <c r="O142" s="8">
        <f>IFERROR($L142*$M142,0)</f>
        <v/>
      </c>
      <c r="P142" s="8">
        <f>IFERROR($L142*$N142,0)</f>
        <v/>
      </c>
      <c r="Q142" s="2" t="inlineStr">
        <is>
          <t>kritiek</t>
        </is>
      </c>
      <c r="R142" s="2" t="inlineStr">
        <is>
          <t>2026-09-08</t>
        </is>
      </c>
      <c r="S142" s="2" t="n">
        <v>37</v>
      </c>
      <c r="T142" s="2" t="n">
        <v>52.41102</v>
      </c>
      <c r="U142" s="2" t="n">
        <v>4.89009</v>
      </c>
      <c r="V142" s="2" t="inlineStr">
        <is>
          <t>Meteorenweg 88. Amsterdam</t>
        </is>
      </c>
      <c r="W142" s="2" t="inlineStr">
        <is>
          <t>Notities Asfalt NOORD 2026 / Herstelwerkzaamheden Noord</t>
        </is>
      </c>
      <c r="X142" s="2" t="inlineStr">
        <is>
          <t>1/1</t>
        </is>
      </c>
      <c r="Y142" s="2" t="inlineStr">
        <is>
          <t>141-meteorenweg.jpg</t>
        </is>
      </c>
      <c r="Z142" s="9" t="inlineStr">
        <is>
          <t>de tekst noemt "Hotbox werkzaamheden"</t>
        </is>
      </c>
      <c r="AA142" s="9" t="inlineStr">
        <is>
          <t>PRIO — met de hand als voorrang aangemerkt</t>
        </is>
      </c>
      <c r="AB142" s="2" t="inlineStr">
        <is>
          <t>SOK-AMS-METEORENWEG</t>
        </is>
      </c>
      <c r="AC142" s="2" t="inlineStr"/>
      <c r="AD142" s="2" t="n">
        <v>1</v>
      </c>
    </row>
    <row r="143">
      <c r="A143" s="2" t="inlineStr">
        <is>
          <t>SOK-AMS-2026-142</t>
        </is>
      </c>
      <c r="B143" s="2" t="inlineStr">
        <is>
          <t>Hotbox werkzaamheden</t>
        </is>
      </c>
      <c r="C143" s="2" t="inlineStr">
        <is>
          <t>Baanakkerspad</t>
        </is>
      </c>
      <c r="D143" s="2" t="inlineStr"/>
      <c r="E143" s="2" t="inlineStr">
        <is>
          <t>Asfalt voetpad Baanakkerspad. 1,94 x 2,21</t>
        </is>
      </c>
      <c r="F143" s="2" t="inlineStr">
        <is>
          <t>2,21 × 1,94 m  (samen 4,3 m²)</t>
        </is>
      </c>
      <c r="G143" s="2" t="n">
        <v>1</v>
      </c>
      <c r="H143" s="7" t="n">
        <v>2.21</v>
      </c>
      <c r="I143" s="7" t="n">
        <v>1.94</v>
      </c>
      <c r="J143" s="7" t="n">
        <v>4.29</v>
      </c>
      <c r="K143" s="2">
        <f>INDEX(Tarieven!$A$4:$E$7,MATCH($B143,Tarieven!$A$4:$A$7,0),2)</f>
        <v/>
      </c>
      <c r="L143" s="7">
        <f>IF($K143="plek",$G143,IF($K143="m1",$H143,$J143))</f>
        <v/>
      </c>
      <c r="M143" s="8">
        <f>INDEX(Tarieven!$A$4:$E$7,MATCH($B143,Tarieven!$A$4:$A$7,0),3)</f>
        <v/>
      </c>
      <c r="N143" s="8">
        <f>INDEX(Tarieven!$A$4:$E$7,MATCH($B143,Tarieven!$A$4:$A$7,0),4)</f>
        <v/>
      </c>
      <c r="O143" s="8">
        <f>IFERROR($L143*$M143,0)</f>
        <v/>
      </c>
      <c r="P143" s="8">
        <f>IFERROR($L143*$N143,0)</f>
        <v/>
      </c>
      <c r="Q143" s="2" t="inlineStr">
        <is>
          <t>normaal</t>
        </is>
      </c>
      <c r="R143" s="2" t="inlineStr">
        <is>
          <t>2026-08-27</t>
        </is>
      </c>
      <c r="S143" s="2" t="n">
        <v>35</v>
      </c>
      <c r="T143" s="2" t="n"/>
      <c r="U143" s="2" t="n"/>
      <c r="V143" s="2" t="inlineStr"/>
      <c r="W143" s="2" t="inlineStr">
        <is>
          <t>Notities Asfalt NOORD 2026 / Herstelwerkzaamheden Noord</t>
        </is>
      </c>
      <c r="X143" s="2" t="inlineStr">
        <is>
          <t>1/1</t>
        </is>
      </c>
      <c r="Y143" s="2" t="inlineStr">
        <is>
          <t>142-baanakkerspad.jpg</t>
        </is>
      </c>
      <c r="Z143" s="9" t="inlineStr">
        <is>
          <t>handgeschreven code "HB" in de kantlijn</t>
        </is>
      </c>
      <c r="AA143" s="9" t="inlineStr">
        <is>
          <t>geen GPS in de bron — locatie handmatig bepalen</t>
        </is>
      </c>
      <c r="AB143" s="2" t="inlineStr">
        <is>
          <t>SOK-AMS-BAANAKKERSPAD</t>
        </is>
      </c>
      <c r="AC143" s="2" t="inlineStr"/>
      <c r="AD143" s="2" t="n">
        <v>1</v>
      </c>
    </row>
    <row r="144">
      <c r="A144" s="2" t="inlineStr">
        <is>
          <t>SOK-AMS-2026-143</t>
        </is>
      </c>
      <c r="B144" s="2" t="inlineStr">
        <is>
          <t>Asfalt – nog in te delen</t>
        </is>
      </c>
      <c r="C144" s="2" t="inlineStr">
        <is>
          <t>Volendammerweg</t>
        </is>
      </c>
      <c r="D144" s="2" t="inlineStr"/>
      <c r="E144" s="2" t="inlineStr">
        <is>
          <t>Volendammerweg 88 / Werengouw Opnieuw vierkant asfalteren van het zebrapad. Asfalt rijweg zwart -2,7 x 10,7 Asfalt Fietspad weerszijde -0.6 x 0,8m -0,6 x 1m</t>
        </is>
      </c>
      <c r="F144" s="2" t="inlineStr">
        <is>
          <t>10,70 × 2,70 m + 0,80 × 0,60 m + 1,00 × 0,60 m  (samen 30,0 m²)</t>
        </is>
      </c>
      <c r="G144" s="2" t="n">
        <v>3</v>
      </c>
      <c r="H144" s="7" t="n">
        <v>12.5</v>
      </c>
      <c r="I144" s="7" t="n">
        <v>0.6</v>
      </c>
      <c r="J144" s="7" t="n">
        <v>29.97</v>
      </c>
      <c r="K144" s="2">
        <f>INDEX(Tarieven!$A$4:$E$7,MATCH($B144,Tarieven!$A$4:$A$7,0),2)</f>
        <v/>
      </c>
      <c r="L144" s="7">
        <f>IF($K144="plek",$G144,IF($K144="m1",$H144,$J144))</f>
        <v/>
      </c>
      <c r="M144" s="8">
        <f>INDEX(Tarieven!$A$4:$E$7,MATCH($B144,Tarieven!$A$4:$A$7,0),3)</f>
        <v/>
      </c>
      <c r="N144" s="8">
        <f>INDEX(Tarieven!$A$4:$E$7,MATCH($B144,Tarieven!$A$4:$A$7,0),4)</f>
        <v/>
      </c>
      <c r="O144" s="8">
        <f>IFERROR($L144*$M144,0)</f>
        <v/>
      </c>
      <c r="P144" s="8">
        <f>IFERROR($L144*$N144,0)</f>
        <v/>
      </c>
      <c r="Q144" s="2" t="inlineStr">
        <is>
          <t>normaal</t>
        </is>
      </c>
      <c r="R144" s="2" t="inlineStr">
        <is>
          <t>2026-08-27</t>
        </is>
      </c>
      <c r="S144" s="2" t="n">
        <v>35</v>
      </c>
      <c r="T144" s="2" t="n">
        <v>52.39112</v>
      </c>
      <c r="U144" s="2" t="n">
        <v>4.95433</v>
      </c>
      <c r="V144" s="2" t="inlineStr">
        <is>
          <t>Volendammerweg 88, Amsterdam</t>
        </is>
      </c>
      <c r="W144" s="2" t="inlineStr">
        <is>
          <t>Notities Asfalt NOORD 2026 / Herstelwerkzaamheden Noord</t>
        </is>
      </c>
      <c r="X144" s="2" t="inlineStr">
        <is>
          <t>1/1</t>
        </is>
      </c>
      <c r="Y144" s="2" t="inlineStr">
        <is>
          <t>143-volendammerweg.jpg</t>
        </is>
      </c>
      <c r="Z144" s="9" t="inlineStr">
        <is>
          <t>geen code in de kantlijn; het rapport noemt wel de asfaltsoort maar niet de uitvoering</t>
        </is>
      </c>
      <c r="AA144" s="9" t="inlineStr"/>
      <c r="AB144" s="2" t="inlineStr">
        <is>
          <t>SOK-AMS-VOLENDAMMERWEG</t>
        </is>
      </c>
      <c r="AC144" s="2" t="inlineStr">
        <is>
          <t>zwart (rijweg)</t>
        </is>
      </c>
      <c r="AD144" s="2" t="n">
        <v>1</v>
      </c>
    </row>
    <row r="145">
      <c r="A145" s="2" t="inlineStr">
        <is>
          <t>SOK-AMS-2026-144</t>
        </is>
      </c>
      <c r="B145" s="2" t="inlineStr">
        <is>
          <t>Asfalt – nog in te delen</t>
        </is>
      </c>
      <c r="C145" s="2" t="inlineStr">
        <is>
          <t>Buiksloterdijk</t>
        </is>
      </c>
      <c r="D145" s="2" t="inlineStr"/>
      <c r="E145" s="2" t="inlineStr">
        <is>
          <t>Victorn: W26005509 Bedrijf: Liander, distributie Electriciteit Asfalt: Fietspad Datum: 11-03-2026 Stadsdeel: Noord Buurt: Buiksloterbreek Inzet Aantal Eenheid Opmerking Lengte 3,05 Breedte 1,81 ASFALT VOET - FIETSPADEN 5,5</t>
        </is>
      </c>
      <c r="F145" s="2" t="inlineStr">
        <is>
          <t>3,05 × 1,81 m  (samen 5,5 m²)</t>
        </is>
      </c>
      <c r="G145" s="2" t="n">
        <v>1</v>
      </c>
      <c r="H145" s="7" t="n">
        <v>3.05</v>
      </c>
      <c r="I145" s="7" t="n">
        <v>1.81</v>
      </c>
      <c r="J145" s="7" t="n">
        <v>5.52</v>
      </c>
      <c r="K145" s="2">
        <f>INDEX(Tarieven!$A$4:$E$7,MATCH($B145,Tarieven!$A$4:$A$7,0),2)</f>
        <v/>
      </c>
      <c r="L145" s="7">
        <f>IF($K145="plek",$G145,IF($K145="m1",$H145,$J145))</f>
        <v/>
      </c>
      <c r="M145" s="8">
        <f>INDEX(Tarieven!$A$4:$E$7,MATCH($B145,Tarieven!$A$4:$A$7,0),3)</f>
        <v/>
      </c>
      <c r="N145" s="8">
        <f>INDEX(Tarieven!$A$4:$E$7,MATCH($B145,Tarieven!$A$4:$A$7,0),4)</f>
        <v/>
      </c>
      <c r="O145" s="8">
        <f>IFERROR($L145*$M145,0)</f>
        <v/>
      </c>
      <c r="P145" s="8">
        <f>IFERROR($L145*$N145,0)</f>
        <v/>
      </c>
      <c r="Q145" s="2" t="inlineStr">
        <is>
          <t>normaal</t>
        </is>
      </c>
      <c r="R145" s="2" t="inlineStr">
        <is>
          <t>2026-03-17</t>
        </is>
      </c>
      <c r="S145" s="2" t="n">
        <v>12</v>
      </c>
      <c r="T145" s="2" t="n">
        <v>52.40496</v>
      </c>
      <c r="U145" s="2" t="n">
        <v>4.90486</v>
      </c>
      <c r="V145" s="2" t="inlineStr">
        <is>
          <t>Buiksloterdijk 455, Amsterdam</t>
        </is>
      </c>
      <c r="W145" s="2" t="inlineStr">
        <is>
          <t>Notities Asfalt NOORD 2026 / Herstelwerkzaamheden Noord</t>
        </is>
      </c>
      <c r="X145" s="2" t="inlineStr">
        <is>
          <t>1/1</t>
        </is>
      </c>
      <c r="Y145" s="2" t="inlineStr">
        <is>
          <t>144-buiksloterdijk.jpg</t>
        </is>
      </c>
      <c r="Z145" s="9" t="inlineStr">
        <is>
          <t>geen code in de kantlijn en geen asfaltsoort in de tekst</t>
        </is>
      </c>
      <c r="AA145" s="9" t="inlineStr"/>
      <c r="AB145" s="2" t="inlineStr">
        <is>
          <t>SOK-AMS-BUIKSLOTERDIJK</t>
        </is>
      </c>
      <c r="AC145" s="2" t="inlineStr"/>
      <c r="AD145" s="2" t="n">
        <v>1</v>
      </c>
    </row>
    <row r="146">
      <c r="A146" s="2" t="inlineStr">
        <is>
          <t>SOK-AMS-2026-145</t>
        </is>
      </c>
      <c r="B146" s="2" t="inlineStr">
        <is>
          <t>Asfalt – nog in te delen</t>
        </is>
      </c>
      <c r="C146" s="2" t="inlineStr">
        <is>
          <t>Rigelstraat</t>
        </is>
      </c>
      <c r="D146" s="2" t="inlineStr"/>
      <c r="E146" s="2" t="inlineStr">
        <is>
          <t>Herstelpunten project Maanstraat 14 Plejadeplein 18: -Rijweg koud asfalt aanbrengen -De witte tegel vervangen voor grijs. Rigelstraat 39: -De verzakkingen aan de buitenste lagen herstellen. -Deets van de parkeervak netjes maken (foto 3,4 en 5) Maanstraat 23: -De twee gezaagde 1 3/15 banden vervangen.(foto 6) Orionstraat 43,: -Koud asfalt aanbrengen. Orionstraat 81 t/m 87 -Deets goed aftrillen. Orionstraat 85. -Deels de verzakking van de klinkers herstellen</t>
        </is>
      </c>
      <c r="F146" s="2" t="inlineStr"/>
      <c r="G146" s="2" t="n">
        <v>0</v>
      </c>
      <c r="H146" s="7" t="n"/>
      <c r="I146" s="7" t="n"/>
      <c r="J146" s="7" t="n"/>
      <c r="K146" s="2">
        <f>INDEX(Tarieven!$A$4:$E$7,MATCH($B146,Tarieven!$A$4:$A$7,0),2)</f>
        <v/>
      </c>
      <c r="L146" s="7">
        <f>IF($K146="plek",$G146,IF($K146="m1",$H146,$J146))</f>
        <v/>
      </c>
      <c r="M146" s="8">
        <f>INDEX(Tarieven!$A$4:$E$7,MATCH($B146,Tarieven!$A$4:$A$7,0),3)</f>
        <v/>
      </c>
      <c r="N146" s="8">
        <f>INDEX(Tarieven!$A$4:$E$7,MATCH($B146,Tarieven!$A$4:$A$7,0),4)</f>
        <v/>
      </c>
      <c r="O146" s="8">
        <f>IFERROR($L146*$M146,0)</f>
        <v/>
      </c>
      <c r="P146" s="8">
        <f>IFERROR($L146*$N146,0)</f>
        <v/>
      </c>
      <c r="Q146" s="2" t="inlineStr">
        <is>
          <t>normaal</t>
        </is>
      </c>
      <c r="R146" s="2" t="inlineStr">
        <is>
          <t>2026-04-24</t>
        </is>
      </c>
      <c r="S146" s="2" t="n">
        <v>17</v>
      </c>
      <c r="T146" s="2" t="n">
        <v>52.41337</v>
      </c>
      <c r="U146" s="2" t="n">
        <v>4.8861</v>
      </c>
      <c r="V146" s="2" t="inlineStr">
        <is>
          <t>Plejadenplein 30, Amsterdam</t>
        </is>
      </c>
      <c r="W146" s="2" t="inlineStr">
        <is>
          <t>Notities Asfalt NOORD 2026 / Herstelwerkzaamheden Noord</t>
        </is>
      </c>
      <c r="X146" s="2" t="inlineStr">
        <is>
          <t>1/3</t>
        </is>
      </c>
      <c r="Y146" s="2" t="inlineStr">
        <is>
          <t>145-rigelstraat.jpg</t>
        </is>
      </c>
      <c r="Z146" s="9" t="inlineStr">
        <is>
          <t>geen code in de kantlijn en geen asfaltsoort in de tekst</t>
        </is>
      </c>
      <c r="AA146" s="9" t="inlineStr">
        <is>
          <t>geen maatvoering in de bron</t>
        </is>
      </c>
      <c r="AB146" s="2" t="inlineStr">
        <is>
          <t>SOK-AMS-RIGELSTRAAT</t>
        </is>
      </c>
      <c r="AC146" s="2" t="inlineStr"/>
      <c r="AD146" s="2" t="n">
        <v>1</v>
      </c>
    </row>
    <row r="147">
      <c r="A147" s="2" t="inlineStr">
        <is>
          <t>SOK-AMS-2026-146</t>
        </is>
      </c>
      <c r="B147" s="2" t="inlineStr">
        <is>
          <t>Asfalt – nog in te delen</t>
        </is>
      </c>
      <c r="C147" s="2" t="inlineStr">
        <is>
          <t>Neptunusstraat</t>
        </is>
      </c>
      <c r="D147" s="2" t="inlineStr"/>
      <c r="E147" s="2" t="inlineStr">
        <is>
          <t>Victorn: W26010252 Bedrijf: Liander, distributie Electriciteit Asfalt: rijweg(zwart) Datum: 11-05-2026 Stadsdeel: Noord Inzet Aantal Eenheid Opmerking Lengte 2,49 Breedte 0,46 m Asfalt Rijweg 1,15</t>
        </is>
      </c>
      <c r="F147" s="2" t="inlineStr">
        <is>
          <t>2,49 × 0,46 m  (samen 1,1 m²)</t>
        </is>
      </c>
      <c r="G147" s="2" t="n">
        <v>1</v>
      </c>
      <c r="H147" s="7" t="n">
        <v>2.49</v>
      </c>
      <c r="I147" s="7" t="n">
        <v>0.46</v>
      </c>
      <c r="J147" s="7" t="n">
        <v>1.15</v>
      </c>
      <c r="K147" s="2">
        <f>INDEX(Tarieven!$A$4:$E$7,MATCH($B147,Tarieven!$A$4:$A$7,0),2)</f>
        <v/>
      </c>
      <c r="L147" s="7">
        <f>IF($K147="plek",$G147,IF($K147="m1",$H147,$J147))</f>
        <v/>
      </c>
      <c r="M147" s="8">
        <f>INDEX(Tarieven!$A$4:$E$7,MATCH($B147,Tarieven!$A$4:$A$7,0),3)</f>
        <v/>
      </c>
      <c r="N147" s="8">
        <f>INDEX(Tarieven!$A$4:$E$7,MATCH($B147,Tarieven!$A$4:$A$7,0),4)</f>
        <v/>
      </c>
      <c r="O147" s="8">
        <f>IFERROR($L147*$M147,0)</f>
        <v/>
      </c>
      <c r="P147" s="8">
        <f>IFERROR($L147*$N147,0)</f>
        <v/>
      </c>
      <c r="Q147" s="2" t="inlineStr">
        <is>
          <t>normaal</t>
        </is>
      </c>
      <c r="R147" s="2" t="inlineStr">
        <is>
          <t>2026-05-19</t>
        </is>
      </c>
      <c r="S147" s="2" t="n">
        <v>21</v>
      </c>
      <c r="T147" s="2" t="n">
        <v>52.4149</v>
      </c>
      <c r="U147" s="2" t="n">
        <v>4.88204</v>
      </c>
      <c r="V147" s="2" t="inlineStr">
        <is>
          <t>Neptunusstraat 8, Amsterdam</t>
        </is>
      </c>
      <c r="W147" s="2" t="inlineStr">
        <is>
          <t>Notities Asfalt NOORD 2026 / Herstelwerkzaamheden Noord</t>
        </is>
      </c>
      <c r="X147" s="2" t="inlineStr">
        <is>
          <t>1/2</t>
        </is>
      </c>
      <c r="Y147" s="2" t="inlineStr">
        <is>
          <t>146-neptunusstraat.jpg</t>
        </is>
      </c>
      <c r="Z147" s="9" t="inlineStr">
        <is>
          <t>geen code in de kantlijn; het rapport noemt wel de asfaltsoort maar niet de uitvoering</t>
        </is>
      </c>
      <c r="AA147" s="9" t="inlineStr"/>
      <c r="AB147" s="2" t="inlineStr">
        <is>
          <t>SOK-AMS-NEPTUNUSSTRAAT</t>
        </is>
      </c>
      <c r="AC147" s="2" t="inlineStr">
        <is>
          <t>zwart (rijweg)</t>
        </is>
      </c>
      <c r="AD147" s="2" t="n">
        <v>1</v>
      </c>
    </row>
    <row r="148">
      <c r="A148" s="2" t="inlineStr">
        <is>
          <t>SOK-AMS-2026-147</t>
        </is>
      </c>
      <c r="B148" s="2" t="inlineStr">
        <is>
          <t>Asfalt – nog in te delen</t>
        </is>
      </c>
      <c r="C148" s="2" t="inlineStr">
        <is>
          <t>Plejadenplein</t>
        </is>
      </c>
      <c r="D148" s="2" t="inlineStr"/>
      <c r="E148" s="2" t="inlineStr">
        <is>
          <t>Victorn: W26008953 Bedrijf: Liander, distributie Gas Asfalt: rijweg(zwart) Datum: 23-04-2026 Stadsdeel: Noord Buurt: Tuindorp Oostzaan-Oost Inzet Aantal Eenheid Opmerking Lengte 2,05 m Breedte 2 Asfalt Rijweg 4,1</t>
        </is>
      </c>
      <c r="F148" s="2" t="inlineStr">
        <is>
          <t>2,05 × 2,00 m  (samen 4,1 m²)</t>
        </is>
      </c>
      <c r="G148" s="2" t="n">
        <v>1</v>
      </c>
      <c r="H148" s="7" t="n">
        <v>2.05</v>
      </c>
      <c r="I148" s="7" t="n">
        <v>2</v>
      </c>
      <c r="J148" s="7" t="n">
        <v>4.1</v>
      </c>
      <c r="K148" s="2">
        <f>INDEX(Tarieven!$A$4:$E$7,MATCH($B148,Tarieven!$A$4:$A$7,0),2)</f>
        <v/>
      </c>
      <c r="L148" s="7">
        <f>IF($K148="plek",$G148,IF($K148="m1",$H148,$J148))</f>
        <v/>
      </c>
      <c r="M148" s="8">
        <f>INDEX(Tarieven!$A$4:$E$7,MATCH($B148,Tarieven!$A$4:$A$7,0),3)</f>
        <v/>
      </c>
      <c r="N148" s="8">
        <f>INDEX(Tarieven!$A$4:$E$7,MATCH($B148,Tarieven!$A$4:$A$7,0),4)</f>
        <v/>
      </c>
      <c r="O148" s="8">
        <f>IFERROR($L148*$M148,0)</f>
        <v/>
      </c>
      <c r="P148" s="8">
        <f>IFERROR($L148*$N148,0)</f>
        <v/>
      </c>
      <c r="Q148" s="2" t="inlineStr">
        <is>
          <t>normaal</t>
        </is>
      </c>
      <c r="R148" s="2" t="inlineStr">
        <is>
          <t>2026-05-19</t>
        </is>
      </c>
      <c r="S148" s="2" t="n">
        <v>21</v>
      </c>
      <c r="T148" s="2" t="n">
        <v>52.41431</v>
      </c>
      <c r="U148" s="2" t="n">
        <v>4.88512</v>
      </c>
      <c r="V148" s="2" t="inlineStr">
        <is>
          <t>Plejadenplein 25, Amsterdam</t>
        </is>
      </c>
      <c r="W148" s="2" t="inlineStr">
        <is>
          <t>Notities Asfalt NOORD 2026 / Herstelwerkzaamheden Noord</t>
        </is>
      </c>
      <c r="X148" s="2" t="inlineStr">
        <is>
          <t>1/2</t>
        </is>
      </c>
      <c r="Y148" s="2" t="inlineStr">
        <is>
          <t>147-plejadenplein.jpg</t>
        </is>
      </c>
      <c r="Z148" s="9" t="inlineStr">
        <is>
          <t>geen code in de kantlijn; het rapport noemt wel de asfaltsoort maar niet de uitvoering</t>
        </is>
      </c>
      <c r="AA148" s="9" t="inlineStr"/>
      <c r="AB148" s="2" t="inlineStr">
        <is>
          <t>SOK-AMS-PLEJADENPLEIN</t>
        </is>
      </c>
      <c r="AC148" s="2" t="inlineStr">
        <is>
          <t>zwart (rijweg)</t>
        </is>
      </c>
      <c r="AD148" s="2" t="n">
        <v>1</v>
      </c>
    </row>
    <row r="149">
      <c r="A149" s="2" t="inlineStr">
        <is>
          <t>SOK-AMS-2026-148</t>
        </is>
      </c>
      <c r="B149" s="2" t="inlineStr">
        <is>
          <t>Asfalt – nog in te delen</t>
        </is>
      </c>
      <c r="C149" s="2" t="inlineStr">
        <is>
          <t>Landsmeerderdijk</t>
        </is>
      </c>
      <c r="D149" s="2" t="inlineStr"/>
      <c r="E149" s="2" t="inlineStr">
        <is>
          <t>Victorn: W26010929 Bedrijf: Liander, distributie Gas Asfalt: rijweg(zwart) Datum: 22-05-2026 Stadsdeel: Noord Buurt: Kadoelen lnzet Aantal Eenheid Opmerking Lengte 3,98 Breedte 1,68 m Asfalt Rijweg 6,69</t>
        </is>
      </c>
      <c r="F149" s="2" t="inlineStr">
        <is>
          <t>3,98 × 1,68 m  (samen 6,7 m²)</t>
        </is>
      </c>
      <c r="G149" s="2" t="n">
        <v>1</v>
      </c>
      <c r="H149" s="7" t="n">
        <v>3.98</v>
      </c>
      <c r="I149" s="7" t="n">
        <v>1.68</v>
      </c>
      <c r="J149" s="7" t="n">
        <v>6.69</v>
      </c>
      <c r="K149" s="2">
        <f>INDEX(Tarieven!$A$4:$E$7,MATCH($B149,Tarieven!$A$4:$A$7,0),2)</f>
        <v/>
      </c>
      <c r="L149" s="7">
        <f>IF($K149="plek",$G149,IF($K149="m1",$H149,$J149))</f>
        <v/>
      </c>
      <c r="M149" s="8">
        <f>INDEX(Tarieven!$A$4:$E$7,MATCH($B149,Tarieven!$A$4:$A$7,0),3)</f>
        <v/>
      </c>
      <c r="N149" s="8">
        <f>INDEX(Tarieven!$A$4:$E$7,MATCH($B149,Tarieven!$A$4:$A$7,0),4)</f>
        <v/>
      </c>
      <c r="O149" s="8">
        <f>IFERROR($L149*$M149,0)</f>
        <v/>
      </c>
      <c r="P149" s="8">
        <f>IFERROR($L149*$N149,0)</f>
        <v/>
      </c>
      <c r="Q149" s="2" t="inlineStr">
        <is>
          <t>normaal</t>
        </is>
      </c>
      <c r="R149" s="2" t="inlineStr">
        <is>
          <t>2026-05-27</t>
        </is>
      </c>
      <c r="S149" s="2" t="n">
        <v>22</v>
      </c>
      <c r="T149" s="2" t="n">
        <v>52.40992</v>
      </c>
      <c r="U149" s="2" t="n">
        <v>4.90737</v>
      </c>
      <c r="V149" s="2" t="inlineStr">
        <is>
          <t>Landsmeerderdijk 195, Amsterdam</t>
        </is>
      </c>
      <c r="W149" s="2" t="inlineStr">
        <is>
          <t>Notities Asfalt NOORD 2026 / Herstelwerkzaamheden Noord</t>
        </is>
      </c>
      <c r="X149" s="2" t="inlineStr">
        <is>
          <t>1/2</t>
        </is>
      </c>
      <c r="Y149" s="2" t="inlineStr">
        <is>
          <t>148-landsmeerderdijk.jpg</t>
        </is>
      </c>
      <c r="Z149" s="9" t="inlineStr">
        <is>
          <t>geen code in de kantlijn; het rapport noemt wel de asfaltsoort maar niet de uitvoering</t>
        </is>
      </c>
      <c r="AA149" s="9" t="inlineStr"/>
      <c r="AB149" s="2" t="inlineStr">
        <is>
          <t>SOK-AMS-LANDSMEERDERDIJK</t>
        </is>
      </c>
      <c r="AC149" s="2" t="inlineStr">
        <is>
          <t>zwart (rijweg)</t>
        </is>
      </c>
      <c r="AD149" s="2" t="n">
        <v>1</v>
      </c>
    </row>
    <row r="150">
      <c r="A150" s="2" t="inlineStr">
        <is>
          <t>SOK-AMS-2026-149</t>
        </is>
      </c>
      <c r="B150" s="2" t="inlineStr">
        <is>
          <t>Asfalt – nog in te delen</t>
        </is>
      </c>
      <c r="C150" s="2" t="inlineStr">
        <is>
          <t>Buiksloterdijk</t>
        </is>
      </c>
      <c r="D150" s="2" t="inlineStr"/>
      <c r="E150" s="2" t="inlineStr">
        <is>
          <t>Victorn: W26008968 Bedrijf: Liander, distributie Electriciteit Asfalt: rijweg(zwart) Datum: 20-05-2026 Stadsdeel: Noord Buurt: Banne-Zuidwest lnzet Aantal Eenheid Opmerking Lengte 1,81 m Inzet Aantal Eenheid Opmerking Breedte 1,7 m Asfalt Rijweg 3,08</t>
        </is>
      </c>
      <c r="F150" s="2" t="inlineStr">
        <is>
          <t>1,81 × 1,70 m  (samen 3,1 m²)</t>
        </is>
      </c>
      <c r="G150" s="2" t="n">
        <v>1</v>
      </c>
      <c r="H150" s="7" t="n">
        <v>1.81</v>
      </c>
      <c r="I150" s="7" t="n">
        <v>1.7</v>
      </c>
      <c r="J150" s="7" t="n">
        <v>3.08</v>
      </c>
      <c r="K150" s="2">
        <f>INDEX(Tarieven!$A$4:$E$7,MATCH($B150,Tarieven!$A$4:$A$7,0),2)</f>
        <v/>
      </c>
      <c r="L150" s="7">
        <f>IF($K150="plek",$G150,IF($K150="m1",$H150,$J150))</f>
        <v/>
      </c>
      <c r="M150" s="8">
        <f>INDEX(Tarieven!$A$4:$E$7,MATCH($B150,Tarieven!$A$4:$A$7,0),3)</f>
        <v/>
      </c>
      <c r="N150" s="8">
        <f>INDEX(Tarieven!$A$4:$E$7,MATCH($B150,Tarieven!$A$4:$A$7,0),4)</f>
        <v/>
      </c>
      <c r="O150" s="8">
        <f>IFERROR($L150*$M150,0)</f>
        <v/>
      </c>
      <c r="P150" s="8">
        <f>IFERROR($L150*$N150,0)</f>
        <v/>
      </c>
      <c r="Q150" s="2" t="inlineStr">
        <is>
          <t>normaal</t>
        </is>
      </c>
      <c r="R150" s="2" t="inlineStr">
        <is>
          <t>2026-05-27</t>
        </is>
      </c>
      <c r="S150" s="2" t="n">
        <v>22</v>
      </c>
      <c r="T150" s="2" t="n">
        <v>52.40685</v>
      </c>
      <c r="U150" s="2" t="n">
        <v>4.90742</v>
      </c>
      <c r="V150" s="2" t="inlineStr">
        <is>
          <t>Buiksloterdijk 489, Amsterdam</t>
        </is>
      </c>
      <c r="W150" s="2" t="inlineStr">
        <is>
          <t>Notities Asfalt NOORD 2026 / Herstelwerkzaamheden Noord</t>
        </is>
      </c>
      <c r="X150" s="2" t="inlineStr">
        <is>
          <t>1/2</t>
        </is>
      </c>
      <c r="Y150" s="2" t="inlineStr">
        <is>
          <t>149-buiksloterdijk.jpg</t>
        </is>
      </c>
      <c r="Z150" s="9" t="inlineStr">
        <is>
          <t>geen code in de kantlijn; het rapport noemt wel de asfaltsoort maar niet de uitvoering</t>
        </is>
      </c>
      <c r="AA150" s="9" t="inlineStr"/>
      <c r="AB150" s="2" t="inlineStr">
        <is>
          <t>SOK-AMS-BUIKSLOTERDIJK</t>
        </is>
      </c>
      <c r="AC150" s="2" t="inlineStr">
        <is>
          <t>zwart (rijweg)</t>
        </is>
      </c>
      <c r="AD150" s="2" t="n">
        <v>1</v>
      </c>
    </row>
    <row r="151">
      <c r="A151" s="2" t="inlineStr">
        <is>
          <t>SOK-AMS-2026-150</t>
        </is>
      </c>
      <c r="B151" s="2" t="inlineStr">
        <is>
          <t>Asfalt – nog in te delen</t>
        </is>
      </c>
      <c r="C151" s="2" t="inlineStr">
        <is>
          <t>Floraweg</t>
        </is>
      </c>
      <c r="D151" s="2" t="inlineStr"/>
      <c r="E151" s="2" t="inlineStr">
        <is>
          <t>Victorn: W26007741 Bedrijf: Combi Infra Amsterdam Asfalt: Voet/Fietspad(rood) Datum: 18-06-2026 Stadsdeel: Noord Buurt: Floradorp,Floraweg 175 Inzet Aantal Eenheid Opmerking Lengte 1,05 m Breedte 0,64</t>
        </is>
      </c>
      <c r="F151" s="2" t="inlineStr">
        <is>
          <t>1,05 × 0,64 m  (samen 0,7 m²)</t>
        </is>
      </c>
      <c r="G151" s="2" t="n">
        <v>1</v>
      </c>
      <c r="H151" s="7" t="n">
        <v>1.05</v>
      </c>
      <c r="I151" s="7" t="n">
        <v>0.64</v>
      </c>
      <c r="J151" s="7" t="n">
        <v>0.67</v>
      </c>
      <c r="K151" s="2">
        <f>INDEX(Tarieven!$A$4:$E$7,MATCH($B151,Tarieven!$A$4:$A$7,0),2)</f>
        <v/>
      </c>
      <c r="L151" s="7">
        <f>IF($K151="plek",$G151,IF($K151="m1",$H151,$J151))</f>
        <v/>
      </c>
      <c r="M151" s="8">
        <f>INDEX(Tarieven!$A$4:$E$7,MATCH($B151,Tarieven!$A$4:$A$7,0),3)</f>
        <v/>
      </c>
      <c r="N151" s="8">
        <f>INDEX(Tarieven!$A$4:$E$7,MATCH($B151,Tarieven!$A$4:$A$7,0),4)</f>
        <v/>
      </c>
      <c r="O151" s="8">
        <f>IFERROR($L151*$M151,0)</f>
        <v/>
      </c>
      <c r="P151" s="8">
        <f>IFERROR($L151*$N151,0)</f>
        <v/>
      </c>
      <c r="Q151" s="2" t="inlineStr">
        <is>
          <t>normaal</t>
        </is>
      </c>
      <c r="R151" s="2" t="inlineStr">
        <is>
          <t>2026-06-18</t>
        </is>
      </c>
      <c r="S151" s="2" t="n">
        <v>25</v>
      </c>
      <c r="T151" s="2" t="n">
        <v>52.39951</v>
      </c>
      <c r="U151" s="2" t="n">
        <v>4.91173</v>
      </c>
      <c r="V151" s="2" t="inlineStr">
        <is>
          <t>Floraweg 175. Amsterdam</t>
        </is>
      </c>
      <c r="W151" s="2" t="inlineStr">
        <is>
          <t>Notities Asfalt NOORD 2026 / Herstelwerkzaamheden Noord</t>
        </is>
      </c>
      <c r="X151" s="2" t="inlineStr">
        <is>
          <t>1/1</t>
        </is>
      </c>
      <c r="Y151" s="2" t="inlineStr">
        <is>
          <t>150-floraweg.jpg</t>
        </is>
      </c>
      <c r="Z151" s="9" t="inlineStr">
        <is>
          <t>geen code in de kantlijn; het rapport noemt wel de asfaltsoort maar niet de uitvoering</t>
        </is>
      </c>
      <c r="AA151" s="9" t="inlineStr"/>
      <c r="AB151" s="2" t="inlineStr">
        <is>
          <t>SOK-AMS-FLORAWEG</t>
        </is>
      </c>
      <c r="AC151" s="2" t="inlineStr">
        <is>
          <t>rood (fiets-/voetpad)</t>
        </is>
      </c>
      <c r="AD151" s="2" t="n">
        <v>1</v>
      </c>
    </row>
    <row r="152">
      <c r="A152" s="2" t="inlineStr">
        <is>
          <t>SOK-AMS-2026-151</t>
        </is>
      </c>
      <c r="B152" s="2" t="inlineStr">
        <is>
          <t>Asfalt – nog in te delen</t>
        </is>
      </c>
      <c r="C152" s="2" t="inlineStr">
        <is>
          <t>Neptunusstraat</t>
        </is>
      </c>
      <c r="D152" s="2" t="inlineStr"/>
      <c r="E152" s="2" t="inlineStr">
        <is>
          <t>Victorn: W26010252 Bedrijf: Liander, distributie Electriciteit Asfalt: rijweg(zwart) Datum: 11-05-2026 Stadsdeel: Noord Buurt: Tuindorp Oostzaan-Oost Inzet Aantal Eenheid Opmerking Lengte 2,49 Breedte 0,46 m Asfalt Rijweg 1,15</t>
        </is>
      </c>
      <c r="F152" s="2" t="inlineStr">
        <is>
          <t>2,49 × 0,46 m  (samen 1,1 m²)</t>
        </is>
      </c>
      <c r="G152" s="2" t="n">
        <v>1</v>
      </c>
      <c r="H152" s="7" t="n">
        <v>2.49</v>
      </c>
      <c r="I152" s="7" t="n">
        <v>0.46</v>
      </c>
      <c r="J152" s="7" t="n">
        <v>1.15</v>
      </c>
      <c r="K152" s="2">
        <f>INDEX(Tarieven!$A$4:$E$7,MATCH($B152,Tarieven!$A$4:$A$7,0),2)</f>
        <v/>
      </c>
      <c r="L152" s="7">
        <f>IF($K152="plek",$G152,IF($K152="m1",$H152,$J152))</f>
        <v/>
      </c>
      <c r="M152" s="8">
        <f>INDEX(Tarieven!$A$4:$E$7,MATCH($B152,Tarieven!$A$4:$A$7,0),3)</f>
        <v/>
      </c>
      <c r="N152" s="8">
        <f>INDEX(Tarieven!$A$4:$E$7,MATCH($B152,Tarieven!$A$4:$A$7,0),4)</f>
        <v/>
      </c>
      <c r="O152" s="8">
        <f>IFERROR($L152*$M152,0)</f>
        <v/>
      </c>
      <c r="P152" s="8">
        <f>IFERROR($L152*$N152,0)</f>
        <v/>
      </c>
      <c r="Q152" s="2" t="inlineStr">
        <is>
          <t>normaal</t>
        </is>
      </c>
      <c r="R152" s="2" t="inlineStr">
        <is>
          <t>2026-06-24</t>
        </is>
      </c>
      <c r="S152" s="2" t="n">
        <v>26</v>
      </c>
      <c r="T152" s="2" t="n">
        <v>52.4149</v>
      </c>
      <c r="U152" s="2" t="n">
        <v>4.88204</v>
      </c>
      <c r="V152" s="2" t="inlineStr">
        <is>
          <t>Neptunusstraat 8, Amsterdam</t>
        </is>
      </c>
      <c r="W152" s="2" t="inlineStr">
        <is>
          <t>Notities Asfalt NOORD 2026 / Herstelwerkzaamheden Noord</t>
        </is>
      </c>
      <c r="X152" s="2" t="inlineStr">
        <is>
          <t>1/2</t>
        </is>
      </c>
      <c r="Y152" s="2" t="inlineStr">
        <is>
          <t>151-neptunusstraat.jpg</t>
        </is>
      </c>
      <c r="Z152" s="9" t="inlineStr">
        <is>
          <t>geen code in de kantlijn; het rapport noemt wel de asfaltsoort maar niet de uitvoering</t>
        </is>
      </c>
      <c r="AA152" s="9" t="inlineStr"/>
      <c r="AB152" s="2" t="inlineStr">
        <is>
          <t>SOK-AMS-NEPTUNUSSTRAAT</t>
        </is>
      </c>
      <c r="AC152" s="2" t="inlineStr">
        <is>
          <t>zwart (rijweg)</t>
        </is>
      </c>
      <c r="AD152" s="2" t="n">
        <v>1</v>
      </c>
    </row>
    <row r="153">
      <c r="A153" s="2" t="inlineStr">
        <is>
          <t>SOK-AMS-2026-152</t>
        </is>
      </c>
      <c r="B153" s="2" t="inlineStr">
        <is>
          <t>Asfalt – nog in te delen</t>
        </is>
      </c>
      <c r="C153" s="2" t="inlineStr">
        <is>
          <t>Landsmeerderdijk</t>
        </is>
      </c>
      <c r="D153" s="2" t="inlineStr"/>
      <c r="E153" s="2" t="inlineStr">
        <is>
          <t>Victorn: W26010929 Bedrijf: Liander, distributie Gas Asfalt: rijweg(zwart) Datum: 22-05-2026 Stadsdeel: Noord Buurt: Kadoelen Inzet Aantal Eenheid Opmerking Lengte 3,98 Breedte 1,68 m Asfalt Rijweg 6,69</t>
        </is>
      </c>
      <c r="F153" s="2" t="inlineStr">
        <is>
          <t>3,98 × 1,68 m  (samen 6,7 m²)</t>
        </is>
      </c>
      <c r="G153" s="2" t="n">
        <v>1</v>
      </c>
      <c r="H153" s="7" t="n">
        <v>3.98</v>
      </c>
      <c r="I153" s="7" t="n">
        <v>1.68</v>
      </c>
      <c r="J153" s="7" t="n">
        <v>6.69</v>
      </c>
      <c r="K153" s="2">
        <f>INDEX(Tarieven!$A$4:$E$7,MATCH($B153,Tarieven!$A$4:$A$7,0),2)</f>
        <v/>
      </c>
      <c r="L153" s="7">
        <f>IF($K153="plek",$G153,IF($K153="m1",$H153,$J153))</f>
        <v/>
      </c>
      <c r="M153" s="8">
        <f>INDEX(Tarieven!$A$4:$E$7,MATCH($B153,Tarieven!$A$4:$A$7,0),3)</f>
        <v/>
      </c>
      <c r="N153" s="8">
        <f>INDEX(Tarieven!$A$4:$E$7,MATCH($B153,Tarieven!$A$4:$A$7,0),4)</f>
        <v/>
      </c>
      <c r="O153" s="8">
        <f>IFERROR($L153*$M153,0)</f>
        <v/>
      </c>
      <c r="P153" s="8">
        <f>IFERROR($L153*$N153,0)</f>
        <v/>
      </c>
      <c r="Q153" s="2" t="inlineStr">
        <is>
          <t>normaal</t>
        </is>
      </c>
      <c r="R153" s="2" t="inlineStr">
        <is>
          <t>2026-06-24</t>
        </is>
      </c>
      <c r="S153" s="2" t="n">
        <v>26</v>
      </c>
      <c r="T153" s="2" t="n">
        <v>52.40997</v>
      </c>
      <c r="U153" s="2" t="n">
        <v>4.90705</v>
      </c>
      <c r="V153" s="2" t="inlineStr">
        <is>
          <t>Landsmeerderdijk 195, Amsterdam</t>
        </is>
      </c>
      <c r="W153" s="2" t="inlineStr">
        <is>
          <t>Notities Asfalt NOORD 2026 / Herstelwerkzaamheden Noord</t>
        </is>
      </c>
      <c r="X153" s="2" t="inlineStr">
        <is>
          <t>2/2</t>
        </is>
      </c>
      <c r="Y153" s="2" t="inlineStr">
        <is>
          <t>152-landsmeerderdijk.jpg</t>
        </is>
      </c>
      <c r="Z153" s="9" t="inlineStr">
        <is>
          <t>geen code in de kantlijn; het rapport noemt wel de asfaltsoort maar niet de uitvoering</t>
        </is>
      </c>
      <c r="AA153" s="9" t="inlineStr"/>
      <c r="AB153" s="2" t="inlineStr">
        <is>
          <t>SOK-AMS-LANDSMEERDERDIJK</t>
        </is>
      </c>
      <c r="AC153" s="2" t="inlineStr">
        <is>
          <t>zwart (rijweg)</t>
        </is>
      </c>
      <c r="AD153" s="2" t="n">
        <v>1</v>
      </c>
    </row>
    <row r="154">
      <c r="A154" s="2" t="inlineStr">
        <is>
          <t>SOK-AMS-2026-153</t>
        </is>
      </c>
      <c r="B154" s="2" t="inlineStr">
        <is>
          <t>Asfalt – nog in te delen</t>
        </is>
      </c>
      <c r="C154" s="2" t="inlineStr">
        <is>
          <t>Zonneplein</t>
        </is>
      </c>
      <c r="D154" s="2" t="inlineStr"/>
      <c r="E154" s="2" t="inlineStr">
        <is>
          <t>Victorn: W26013485 Bedrijf: Liander, distributie Electriciteit Asfalt: rijweg(zwart) Datum: 20-06-2026 Stadsdeel: Noord Inzet Aantal Eenheid Opmerking Breedte 1,5 Lengte 10,55 Asfalt Rijweg 15,825 m2 Breedte 2,45 m Lengte 2,45 m Asfalt Rijweg 6,0025</t>
        </is>
      </c>
      <c r="F154" s="2" t="inlineStr">
        <is>
          <t>10,55 × 1,50 m + 2,45 × 2,45 m  (samen 21,8 m²)</t>
        </is>
      </c>
      <c r="G154" s="2" t="n">
        <v>2</v>
      </c>
      <c r="H154" s="7" t="n">
        <v>13</v>
      </c>
      <c r="I154" s="7" t="n">
        <v>1.5</v>
      </c>
      <c r="J154" s="7" t="n">
        <v>21.83</v>
      </c>
      <c r="K154" s="2">
        <f>INDEX(Tarieven!$A$4:$E$7,MATCH($B154,Tarieven!$A$4:$A$7,0),2)</f>
        <v/>
      </c>
      <c r="L154" s="7">
        <f>IF($K154="plek",$G154,IF($K154="m1",$H154,$J154))</f>
        <v/>
      </c>
      <c r="M154" s="8">
        <f>INDEX(Tarieven!$A$4:$E$7,MATCH($B154,Tarieven!$A$4:$A$7,0),3)</f>
        <v/>
      </c>
      <c r="N154" s="8">
        <f>INDEX(Tarieven!$A$4:$E$7,MATCH($B154,Tarieven!$A$4:$A$7,0),4)</f>
        <v/>
      </c>
      <c r="O154" s="8">
        <f>IFERROR($L154*$M154,0)</f>
        <v/>
      </c>
      <c r="P154" s="8">
        <f>IFERROR($L154*$N154,0)</f>
        <v/>
      </c>
      <c r="Q154" s="2" t="inlineStr">
        <is>
          <t>normaal</t>
        </is>
      </c>
      <c r="R154" s="2" t="inlineStr">
        <is>
          <t>2026-07-09</t>
        </is>
      </c>
      <c r="S154" s="2" t="n">
        <v>28</v>
      </c>
      <c r="T154" s="2" t="n">
        <v>52.41269</v>
      </c>
      <c r="U154" s="2" t="n">
        <v>4.89104</v>
      </c>
      <c r="V154" s="2" t="inlineStr">
        <is>
          <t>Zonneplein 12, Amsterdam</t>
        </is>
      </c>
      <c r="W154" s="2" t="inlineStr">
        <is>
          <t>Notities Asfalt NOORD 2026 / Herstelwerkzaamheden Noord</t>
        </is>
      </c>
      <c r="X154" s="2" t="inlineStr">
        <is>
          <t>19/20</t>
        </is>
      </c>
      <c r="Y154" s="2" t="inlineStr">
        <is>
          <t>153-zonneplein.jpg</t>
        </is>
      </c>
      <c r="Z154" s="9" t="inlineStr">
        <is>
          <t>geen code in de kantlijn; het rapport noemt wel de asfaltsoort maar niet de uitvoering</t>
        </is>
      </c>
      <c r="AA154" s="9" t="inlineStr"/>
      <c r="AB154" s="2" t="inlineStr">
        <is>
          <t>SOK-AMS-ZONNEPLEIN</t>
        </is>
      </c>
      <c r="AC154" s="2" t="inlineStr">
        <is>
          <t>zwart (rijweg)</t>
        </is>
      </c>
      <c r="AD154" s="2" t="n">
        <v>1</v>
      </c>
    </row>
    <row r="155">
      <c r="A155" s="2" t="inlineStr">
        <is>
          <t>SOK-AMS-2026-154</t>
        </is>
      </c>
      <c r="B155" s="2" t="inlineStr">
        <is>
          <t>Asfalt – nog in te delen</t>
        </is>
      </c>
      <c r="C155" s="2" t="inlineStr">
        <is>
          <t>Zuideinde</t>
        </is>
      </c>
      <c r="D155" s="2" t="inlineStr"/>
      <c r="E155" s="2" t="inlineStr">
        <is>
          <t>Viktor nr. W26012226 Bedrijf waternet Asfalt rijweg 6.60 x 0.83. Datum 31-7-2026 Stadsdeel noord</t>
        </is>
      </c>
      <c r="F155" s="2" t="inlineStr">
        <is>
          <t>6,60 × 0,83 m  (samen 5,5 m²)</t>
        </is>
      </c>
      <c r="G155" s="2" t="n">
        <v>1</v>
      </c>
      <c r="H155" s="7" t="n">
        <v>6.6</v>
      </c>
      <c r="I155" s="7" t="n">
        <v>0.83</v>
      </c>
      <c r="J155" s="7" t="n">
        <v>5.48</v>
      </c>
      <c r="K155" s="2">
        <f>INDEX(Tarieven!$A$4:$E$7,MATCH($B155,Tarieven!$A$4:$A$7,0),2)</f>
        <v/>
      </c>
      <c r="L155" s="7">
        <f>IF($K155="plek",$G155,IF($K155="m1",$H155,$J155))</f>
        <v/>
      </c>
      <c r="M155" s="8">
        <f>INDEX(Tarieven!$A$4:$E$7,MATCH($B155,Tarieven!$A$4:$A$7,0),3)</f>
        <v/>
      </c>
      <c r="N155" s="8">
        <f>INDEX(Tarieven!$A$4:$E$7,MATCH($B155,Tarieven!$A$4:$A$7,0),4)</f>
        <v/>
      </c>
      <c r="O155" s="8">
        <f>IFERROR($L155*$M155,0)</f>
        <v/>
      </c>
      <c r="P155" s="8">
        <f>IFERROR($L155*$N155,0)</f>
        <v/>
      </c>
      <c r="Q155" s="2" t="inlineStr">
        <is>
          <t>normaal</t>
        </is>
      </c>
      <c r="R155" s="2" t="inlineStr">
        <is>
          <t>2026-07-31</t>
        </is>
      </c>
      <c r="S155" s="2" t="n">
        <v>31</v>
      </c>
      <c r="T155" s="2" t="n">
        <v>52.42408</v>
      </c>
      <c r="U155" s="2" t="n">
        <v>4.88917</v>
      </c>
      <c r="V155" s="2" t="inlineStr">
        <is>
          <t>Zuideinde 325, Amsterdam</t>
        </is>
      </c>
      <c r="W155" s="2" t="inlineStr">
        <is>
          <t>Notities Asfalt NOORD 2026 / Herstelwerkzaamheden Noord</t>
        </is>
      </c>
      <c r="X155" s="2" t="inlineStr">
        <is>
          <t>20/20</t>
        </is>
      </c>
      <c r="Y155" s="2" t="inlineStr">
        <is>
          <t>154-zuideinde.jpg</t>
        </is>
      </c>
      <c r="Z155" s="9" t="inlineStr">
        <is>
          <t>geen code in de kantlijn en geen asfaltsoort in de tekst</t>
        </is>
      </c>
      <c r="AA155" s="9" t="inlineStr"/>
      <c r="AB155" s="2" t="inlineStr">
        <is>
          <t>SOK-AMS-ZUIDEINDE</t>
        </is>
      </c>
      <c r="AC155" s="2" t="inlineStr"/>
      <c r="AD155" s="2" t="n">
        <v>1</v>
      </c>
    </row>
    <row r="156">
      <c r="A156" s="2" t="inlineStr">
        <is>
          <t>SOK-AMS-2026-155</t>
        </is>
      </c>
      <c r="B156" s="2" t="inlineStr">
        <is>
          <t>Asfalt – nog in te delen</t>
        </is>
      </c>
      <c r="C156" s="2" t="inlineStr">
        <is>
          <t>Schellingwouderdijk</t>
        </is>
      </c>
      <c r="D156" s="2" t="inlineStr"/>
      <c r="E156" s="2" t="inlineStr">
        <is>
          <t>Herstelpunten project Schellingwouderdijk 83 t/m 33(24033785) Op locatie zijn na de werkzaamheden verzakkingen in het asfalt en in de parkeervakken ontstaan. Graag deze verzakkingen herstellen</t>
        </is>
      </c>
      <c r="F156" s="2" t="inlineStr"/>
      <c r="G156" s="2" t="n">
        <v>0</v>
      </c>
      <c r="H156" s="7" t="n"/>
      <c r="I156" s="7" t="n"/>
      <c r="J156" s="7" t="n"/>
      <c r="K156" s="2">
        <f>INDEX(Tarieven!$A$4:$E$7,MATCH($B156,Tarieven!$A$4:$A$7,0),2)</f>
        <v/>
      </c>
      <c r="L156" s="7">
        <f>IF($K156="plek",$G156,IF($K156="m1",$H156,$J156))</f>
        <v/>
      </c>
      <c r="M156" s="8">
        <f>INDEX(Tarieven!$A$4:$E$7,MATCH($B156,Tarieven!$A$4:$A$7,0),3)</f>
        <v/>
      </c>
      <c r="N156" s="8">
        <f>INDEX(Tarieven!$A$4:$E$7,MATCH($B156,Tarieven!$A$4:$A$7,0),4)</f>
        <v/>
      </c>
      <c r="O156" s="8">
        <f>IFERROR($L156*$M156,0)</f>
        <v/>
      </c>
      <c r="P156" s="8">
        <f>IFERROR($L156*$N156,0)</f>
        <v/>
      </c>
      <c r="Q156" s="2" t="inlineStr">
        <is>
          <t>normaal</t>
        </is>
      </c>
      <c r="R156" s="2" t="inlineStr">
        <is>
          <t>2025-11-26</t>
        </is>
      </c>
      <c r="S156" s="2" t="n">
        <v>48</v>
      </c>
      <c r="T156" s="2" t="n">
        <v>52.38647</v>
      </c>
      <c r="U156" s="2" t="n">
        <v>4.95415</v>
      </c>
      <c r="V156" s="2" t="inlineStr">
        <is>
          <t>Schellingwouderdijk 83, Amsterdam</t>
        </is>
      </c>
      <c r="W156" s="2" t="inlineStr">
        <is>
          <t>Notities Asfalt NOORD 2026 / Herstelwerkzaamheden Noord</t>
        </is>
      </c>
      <c r="X156" s="2" t="inlineStr">
        <is>
          <t>1/2</t>
        </is>
      </c>
      <c r="Y156" s="2" t="inlineStr">
        <is>
          <t>155-schellingwouderdijk.jpg</t>
        </is>
      </c>
      <c r="Z156" s="9" t="inlineStr">
        <is>
          <t>geen code in de kantlijn en geen asfaltsoort in de tekst</t>
        </is>
      </c>
      <c r="AA156" s="9" t="inlineStr">
        <is>
          <t>geen maatvoering in de bron</t>
        </is>
      </c>
      <c r="AB156" s="2" t="inlineStr">
        <is>
          <t>SOK-AMS-SCHELLINGWOUDERDIJK</t>
        </is>
      </c>
      <c r="AC156" s="2" t="inlineStr"/>
      <c r="AD156" s="2" t="n">
        <v>1</v>
      </c>
    </row>
    <row r="157">
      <c r="A157" s="2" t="inlineStr">
        <is>
          <t>SOK-AMS-2026-156</t>
        </is>
      </c>
      <c r="B157" s="2" t="inlineStr">
        <is>
          <t>Asfalt – nog in te delen</t>
        </is>
      </c>
      <c r="C157" s="2" t="inlineStr">
        <is>
          <t>Volendammerweg</t>
        </is>
      </c>
      <c r="D157" s="2" t="inlineStr"/>
      <c r="E157" s="2" t="inlineStr">
        <is>
          <t>W26004544. 2.30 x 0.50 asfalt fietspad</t>
        </is>
      </c>
      <c r="F157" s="2" t="inlineStr">
        <is>
          <t>2,30 × 0,50 m  (samen 1,1 m²)</t>
        </is>
      </c>
      <c r="G157" s="2" t="n">
        <v>1</v>
      </c>
      <c r="H157" s="7" t="n">
        <v>2.3</v>
      </c>
      <c r="I157" s="7" t="n">
        <v>0.5</v>
      </c>
      <c r="J157" s="7" t="n">
        <v>1.15</v>
      </c>
      <c r="K157" s="2">
        <f>INDEX(Tarieven!$A$4:$E$7,MATCH($B157,Tarieven!$A$4:$A$7,0),2)</f>
        <v/>
      </c>
      <c r="L157" s="7">
        <f>IF($K157="plek",$G157,IF($K157="m1",$H157,$J157))</f>
        <v/>
      </c>
      <c r="M157" s="8">
        <f>INDEX(Tarieven!$A$4:$E$7,MATCH($B157,Tarieven!$A$4:$A$7,0),3)</f>
        <v/>
      </c>
      <c r="N157" s="8">
        <f>INDEX(Tarieven!$A$4:$E$7,MATCH($B157,Tarieven!$A$4:$A$7,0),4)</f>
        <v/>
      </c>
      <c r="O157" s="8">
        <f>IFERROR($L157*$M157,0)</f>
        <v/>
      </c>
      <c r="P157" s="8">
        <f>IFERROR($L157*$N157,0)</f>
        <v/>
      </c>
      <c r="Q157" s="2" t="inlineStr">
        <is>
          <t>normaal</t>
        </is>
      </c>
      <c r="R157" s="2" t="inlineStr">
        <is>
          <t>2026-06-10</t>
        </is>
      </c>
      <c r="S157" s="2" t="n">
        <v>24</v>
      </c>
      <c r="T157" s="2" t="n">
        <v>52.39496</v>
      </c>
      <c r="U157" s="2" t="n">
        <v>4.96693</v>
      </c>
      <c r="V157" s="2" t="inlineStr">
        <is>
          <t>Volendammerweg. Amsterdam</t>
        </is>
      </c>
      <c r="W157" s="2" t="inlineStr">
        <is>
          <t>Notities Asfalt NOORD 2026 / Herstelwerkzaamheden Noord</t>
        </is>
      </c>
      <c r="X157" s="2" t="inlineStr">
        <is>
          <t>1/1</t>
        </is>
      </c>
      <c r="Y157" s="2" t="inlineStr">
        <is>
          <t>156-volendammerweg.jpg</t>
        </is>
      </c>
      <c r="Z157" s="9" t="inlineStr">
        <is>
          <t>geen code in de kantlijn en geen asfaltsoort in de tekst</t>
        </is>
      </c>
      <c r="AA157" s="9" t="inlineStr"/>
      <c r="AB157" s="2" t="inlineStr">
        <is>
          <t>SOK-AMS-VOLENDAMMERWEG</t>
        </is>
      </c>
      <c r="AC157" s="2" t="inlineStr"/>
      <c r="AD157" s="2" t="n">
        <v>1</v>
      </c>
    </row>
    <row r="159">
      <c r="A159" s="3" t="inlineStr">
        <is>
          <t>Totaal</t>
        </is>
      </c>
      <c r="G159" s="10">
        <f>SUM(G2:G157)</f>
        <v/>
      </c>
      <c r="H159" s="10">
        <f>SUM(H2:H157)</f>
        <v/>
      </c>
      <c r="J159" s="10">
        <f>SUM(J2:J157)</f>
        <v/>
      </c>
      <c r="L159" s="10">
        <f>SUM(L2:L157)</f>
        <v/>
      </c>
      <c r="O159" s="11">
        <f>SUM(O2:O157)</f>
        <v/>
      </c>
      <c r="P159" s="11">
        <f>SUM(P2:P157)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3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Samenvatting per werksoort</t>
        </is>
      </c>
    </row>
    <row r="3">
      <c r="A3" s="4" t="inlineStr">
        <is>
          <t>Werksoort</t>
        </is>
      </c>
      <c r="B3" s="4" t="inlineStr">
        <is>
          <t>Aantal locaties</t>
        </is>
      </c>
      <c r="C3" s="4" t="inlineStr">
        <is>
          <t>Vlakken</t>
        </is>
      </c>
      <c r="D3" s="4" t="inlineStr">
        <is>
          <t>Lengte (m)</t>
        </is>
      </c>
      <c r="E3" s="4" t="inlineStr">
        <is>
          <t>Oppervlak (m2)</t>
        </is>
      </c>
      <c r="F3" s="4" t="inlineStr">
        <is>
          <t>Kosten min</t>
        </is>
      </c>
      <c r="G3" s="4" t="inlineStr">
        <is>
          <t>Kosten max</t>
        </is>
      </c>
    </row>
    <row r="4">
      <c r="A4" s="2" t="inlineStr">
        <is>
          <t>Hotbox werkzaamheden</t>
        </is>
      </c>
      <c r="B4" s="2">
        <f>COUNTIF(Locaties!$B$2:$B$157,$A4)</f>
        <v/>
      </c>
      <c r="C4" s="7">
        <f>SUMIF(Locaties!$B$2:$B$157,$A4,Locaties!$G$2:$G$157)</f>
        <v/>
      </c>
      <c r="D4" s="7">
        <f>SUMIF(Locaties!$B$2:$B$157,$A4,Locaties!$H$2:$H$157)</f>
        <v/>
      </c>
      <c r="E4" s="7">
        <f>SUMIF(Locaties!$B$2:$B$157,$A4,Locaties!$J$2:$J$157)</f>
        <v/>
      </c>
      <c r="F4" s="8">
        <f>SUMIF(Locaties!$B$2:$B$157,$A4,Locaties!$O$2:$O$157)</f>
        <v/>
      </c>
      <c r="G4" s="8">
        <f>SUMIF(Locaties!$B$2:$B$157,$A4,Locaties!$P$2:$P$157)</f>
        <v/>
      </c>
    </row>
    <row r="5">
      <c r="A5" s="2" t="inlineStr">
        <is>
          <t>Asfalt machinaal</t>
        </is>
      </c>
      <c r="B5" s="2">
        <f>COUNTIF(Locaties!$B$2:$B$157,$A5)</f>
        <v/>
      </c>
      <c r="C5" s="7">
        <f>SUMIF(Locaties!$B$2:$B$157,$A5,Locaties!$G$2:$G$157)</f>
        <v/>
      </c>
      <c r="D5" s="7">
        <f>SUMIF(Locaties!$B$2:$B$157,$A5,Locaties!$H$2:$H$157)</f>
        <v/>
      </c>
      <c r="E5" s="7">
        <f>SUMIF(Locaties!$B$2:$B$157,$A5,Locaties!$J$2:$J$157)</f>
        <v/>
      </c>
      <c r="F5" s="8">
        <f>SUMIF(Locaties!$B$2:$B$157,$A5,Locaties!$O$2:$O$157)</f>
        <v/>
      </c>
      <c r="G5" s="8">
        <f>SUMIF(Locaties!$B$2:$B$157,$A5,Locaties!$P$2:$P$157)</f>
        <v/>
      </c>
    </row>
    <row r="6">
      <c r="A6" s="2" t="inlineStr">
        <is>
          <t>Scheuren vullen</t>
        </is>
      </c>
      <c r="B6" s="2">
        <f>COUNTIF(Locaties!$B$2:$B$157,$A6)</f>
        <v/>
      </c>
      <c r="C6" s="7">
        <f>SUMIF(Locaties!$B$2:$B$157,$A6,Locaties!$G$2:$G$157)</f>
        <v/>
      </c>
      <c r="D6" s="7">
        <f>SUMIF(Locaties!$B$2:$B$157,$A6,Locaties!$H$2:$H$157)</f>
        <v/>
      </c>
      <c r="E6" s="7">
        <f>SUMIF(Locaties!$B$2:$B$157,$A6,Locaties!$J$2:$J$157)</f>
        <v/>
      </c>
      <c r="F6" s="8">
        <f>SUMIF(Locaties!$B$2:$B$157,$A6,Locaties!$O$2:$O$157)</f>
        <v/>
      </c>
      <c r="G6" s="8">
        <f>SUMIF(Locaties!$B$2:$B$157,$A6,Locaties!$P$2:$P$157)</f>
        <v/>
      </c>
    </row>
    <row r="7">
      <c r="A7" s="2" t="inlineStr">
        <is>
          <t>Asfalt – nog in te delen</t>
        </is>
      </c>
      <c r="B7" s="2">
        <f>COUNTIF(Locaties!$B$2:$B$157,$A7)</f>
        <v/>
      </c>
      <c r="C7" s="7">
        <f>SUMIF(Locaties!$B$2:$B$157,$A7,Locaties!$G$2:$G$157)</f>
        <v/>
      </c>
      <c r="D7" s="7">
        <f>SUMIF(Locaties!$B$2:$B$157,$A7,Locaties!$H$2:$H$157)</f>
        <v/>
      </c>
      <c r="E7" s="7">
        <f>SUMIF(Locaties!$B$2:$B$157,$A7,Locaties!$J$2:$J$157)</f>
        <v/>
      </c>
      <c r="F7" s="8">
        <f>SUMIF(Locaties!$B$2:$B$157,$A7,Locaties!$O$2:$O$157)</f>
        <v/>
      </c>
      <c r="G7" s="8">
        <f>SUMIF(Locaties!$B$2:$B$157,$A7,Locaties!$P$2:$P$157)</f>
        <v/>
      </c>
    </row>
    <row r="8">
      <c r="A8" s="3" t="inlineStr">
        <is>
          <t>Totaal</t>
        </is>
      </c>
      <c r="B8" s="10">
        <f>SUM(B4:B7)</f>
        <v/>
      </c>
      <c r="C8" s="10">
        <f>SUM(C4:C7)</f>
        <v/>
      </c>
      <c r="D8" s="10">
        <f>SUM(D4:D7)</f>
        <v/>
      </c>
      <c r="E8" s="10">
        <f>SUM(E4:E7)</f>
        <v/>
      </c>
      <c r="F8" s="11">
        <f>SUM(F4:F7)</f>
        <v/>
      </c>
      <c r="G8" s="11">
        <f>SUM(G4:G7)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Rood asfalt tegenover zwart asfalt</t>
        </is>
      </c>
    </row>
    <row r="2">
      <c r="A2" s="2" t="inlineStr">
        <is>
          <t>Het bronrapport noemt de asfaltsoort alleen bij de herstelpunten van de nutsbedrijven. Bij de rest staat het er niet.</t>
        </is>
      </c>
    </row>
    <row r="4">
      <c r="A4" s="4" t="inlineStr">
        <is>
          <t>Asfaltsoort</t>
        </is>
      </c>
      <c r="B4" s="4" t="inlineStr">
        <is>
          <t>Aantal locaties</t>
        </is>
      </c>
      <c r="C4" s="4" t="inlineStr">
        <is>
          <t>Percentage</t>
        </is>
      </c>
      <c r="D4" s="4" t="inlineStr">
        <is>
          <t>Oppervlak (m2)</t>
        </is>
      </c>
      <c r="E4" s="4" t="inlineStr">
        <is>
          <t>Kosten min</t>
        </is>
      </c>
      <c r="F4" s="4" t="inlineStr">
        <is>
          <t>Kosten max</t>
        </is>
      </c>
    </row>
    <row r="5">
      <c r="A5" s="2" t="inlineStr">
        <is>
          <t>zwart (rijweg)</t>
        </is>
      </c>
      <c r="B5" s="2">
        <f>COUNTIF(Locaties!$AC$2:$AC$157,$A5)</f>
        <v/>
      </c>
      <c r="C5" s="12">
        <f>IFERROR($B5/$B$8,0)</f>
        <v/>
      </c>
      <c r="D5" s="7">
        <f>SUMIF(Locaties!$AC$2:$AC$157,$A5,Locaties!$J$2:$J$157)</f>
        <v/>
      </c>
      <c r="E5" s="8">
        <f>SUMIF(Locaties!$AC$2:$AC$157,$A5,Locaties!$O$2:$O$157)</f>
        <v/>
      </c>
      <c r="F5" s="8">
        <f>SUMIF(Locaties!$AC$2:$AC$157,$A5,Locaties!$P$2:$P$157)</f>
        <v/>
      </c>
    </row>
    <row r="6">
      <c r="A6" s="2" t="inlineStr">
        <is>
          <t>rood (fiets-/voetpad)</t>
        </is>
      </c>
      <c r="B6" s="2">
        <f>COUNTIF(Locaties!$AC$2:$AC$157,$A6)</f>
        <v/>
      </c>
      <c r="C6" s="12">
        <f>IFERROR($B6/$B$8,0)</f>
        <v/>
      </c>
      <c r="D6" s="7">
        <f>SUMIF(Locaties!$AC$2:$AC$157,$A6,Locaties!$J$2:$J$157)</f>
        <v/>
      </c>
      <c r="E6" s="8">
        <f>SUMIF(Locaties!$AC$2:$AC$157,$A6,Locaties!$O$2:$O$157)</f>
        <v/>
      </c>
      <c r="F6" s="8">
        <f>SUMIF(Locaties!$AC$2:$AC$157,$A6,Locaties!$P$2:$P$157)</f>
        <v/>
      </c>
    </row>
    <row r="7">
      <c r="A7" s="2" t="inlineStr">
        <is>
          <t>niet vermeld in het rapport</t>
        </is>
      </c>
      <c r="B7" s="2">
        <f>$B$8-SUM(B5:B6)</f>
        <v/>
      </c>
      <c r="C7" s="12">
        <f>IFERROR($B7/$B$8,0)</f>
        <v/>
      </c>
      <c r="D7" s="7">
        <f>SUM(Locaties!$J$2:$J$157)-SUM(D5:D6)</f>
        <v/>
      </c>
      <c r="E7" s="8">
        <f>SUM(Locaties!$O$2:$O$157)-SUM(E5:E6)</f>
        <v/>
      </c>
      <c r="F7" s="8">
        <f>SUM(Locaties!$P$2:$P$157)-SUM(F5:F6)</f>
        <v/>
      </c>
    </row>
    <row r="8">
      <c r="A8" s="3" t="inlineStr">
        <is>
          <t>Totaal (alle locaties)</t>
        </is>
      </c>
      <c r="B8" s="3">
        <f>COUNTA(Locaties!$A$2:$A$157)</f>
        <v/>
      </c>
      <c r="C8" s="13">
        <f>SUM(C5:C7)</f>
        <v/>
      </c>
      <c r="D8" s="10">
        <f>SUM(Locaties!$J$2:$J$157)</f>
        <v/>
      </c>
      <c r="E8" s="11">
        <f>SUM(Locaties!$O$2:$O$157)</f>
        <v/>
      </c>
      <c r="F8" s="11">
        <f>SUM(Locaties!$P$2:$P$157)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5" customWidth="1" min="3" max="3"/>
    <col width="15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Samenvatting per weg</t>
        </is>
      </c>
    </row>
    <row r="3">
      <c r="A3" s="4" t="inlineStr">
        <is>
          <t>Weg</t>
        </is>
      </c>
      <c r="B3" s="4" t="inlineStr">
        <is>
          <t>Buurt</t>
        </is>
      </c>
      <c r="C3" s="4" t="inlineStr">
        <is>
          <t>Aantal locaties</t>
        </is>
      </c>
      <c r="D3" s="4" t="inlineStr">
        <is>
          <t>Oppervlak (m2)</t>
        </is>
      </c>
      <c r="E3" s="4" t="inlineStr">
        <is>
          <t>Kosten min</t>
        </is>
      </c>
      <c r="F3" s="4" t="inlineStr">
        <is>
          <t>Kosten max</t>
        </is>
      </c>
      <c r="G3" s="4" t="inlineStr">
        <is>
          <t>Conditie (afgeleid)</t>
        </is>
      </c>
    </row>
    <row r="4">
      <c r="A4" s="2" t="inlineStr">
        <is>
          <t>Aldebaranplein</t>
        </is>
      </c>
      <c r="B4" s="2" t="inlineStr">
        <is>
          <t>Amsterdam-Noord — Tuindorp Oostzaan</t>
        </is>
      </c>
      <c r="C4" s="2">
        <f>COUNTIF(Locaties!$C$2:$C$157,$A4)</f>
        <v/>
      </c>
      <c r="D4" s="7">
        <f>SUMIF(Locaties!$C$2:$C$157,$A4,Locaties!$J$2:$J$157)</f>
        <v/>
      </c>
      <c r="E4" s="8">
        <f>SUMIF(Locaties!$C$2:$C$157,$A4,Locaties!$O$2:$O$157)</f>
        <v/>
      </c>
      <c r="F4" s="8">
        <f>SUMIF(Locaties!$C$2:$C$157,$A4,Locaties!$P$2:$P$157)</f>
        <v/>
      </c>
      <c r="G4" s="2" t="n">
        <v>2</v>
      </c>
    </row>
    <row r="5">
      <c r="A5" s="2" t="inlineStr">
        <is>
          <t>Aldebaranstraat</t>
        </is>
      </c>
      <c r="B5" s="2" t="inlineStr">
        <is>
          <t>Amsterdam-Noord — Tuindorp Oostzaan</t>
        </is>
      </c>
      <c r="C5" s="2">
        <f>COUNTIF(Locaties!$C$2:$C$157,$A5)</f>
        <v/>
      </c>
      <c r="D5" s="7">
        <f>SUMIF(Locaties!$C$2:$C$157,$A5,Locaties!$J$2:$J$157)</f>
        <v/>
      </c>
      <c r="E5" s="8">
        <f>SUMIF(Locaties!$C$2:$C$157,$A5,Locaties!$O$2:$O$157)</f>
        <v/>
      </c>
      <c r="F5" s="8">
        <f>SUMIF(Locaties!$C$2:$C$157,$A5,Locaties!$P$2:$P$157)</f>
        <v/>
      </c>
      <c r="G5" s="2" t="n">
        <v>4</v>
      </c>
    </row>
    <row r="6">
      <c r="A6" s="2" t="inlineStr">
        <is>
          <t>Appelweg</t>
        </is>
      </c>
      <c r="B6" s="2" t="inlineStr">
        <is>
          <t>Amsterdam-Noord — Tuindorp Oostzaan</t>
        </is>
      </c>
      <c r="C6" s="2">
        <f>COUNTIF(Locaties!$C$2:$C$157,$A6)</f>
        <v/>
      </c>
      <c r="D6" s="7">
        <f>SUMIF(Locaties!$C$2:$C$157,$A6,Locaties!$J$2:$J$157)</f>
        <v/>
      </c>
      <c r="E6" s="8">
        <f>SUMIF(Locaties!$C$2:$C$157,$A6,Locaties!$O$2:$O$157)</f>
        <v/>
      </c>
      <c r="F6" s="8">
        <f>SUMIF(Locaties!$C$2:$C$157,$A6,Locaties!$P$2:$P$157)</f>
        <v/>
      </c>
      <c r="G6" s="2" t="n">
        <v>2</v>
      </c>
    </row>
    <row r="7">
      <c r="A7" s="2" t="inlineStr">
        <is>
          <t>Argostraat</t>
        </is>
      </c>
      <c r="B7" s="2" t="inlineStr">
        <is>
          <t>Amsterdam-Noord — Tuindorp Oostzaan</t>
        </is>
      </c>
      <c r="C7" s="2">
        <f>COUNTIF(Locaties!$C$2:$C$157,$A7)</f>
        <v/>
      </c>
      <c r="D7" s="7">
        <f>SUMIF(Locaties!$C$2:$C$157,$A7,Locaties!$J$2:$J$157)</f>
        <v/>
      </c>
      <c r="E7" s="8">
        <f>SUMIF(Locaties!$C$2:$C$157,$A7,Locaties!$O$2:$O$157)</f>
        <v/>
      </c>
      <c r="F7" s="8">
        <f>SUMIF(Locaties!$C$2:$C$157,$A7,Locaties!$P$2:$P$157)</f>
        <v/>
      </c>
      <c r="G7" s="2" t="n">
        <v>3</v>
      </c>
    </row>
    <row r="8">
      <c r="A8" s="2" t="inlineStr">
        <is>
          <t>Astasiastraat</t>
        </is>
      </c>
      <c r="B8" s="2" t="inlineStr">
        <is>
          <t>Amsterdam-Noord — Kadoelen</t>
        </is>
      </c>
      <c r="C8" s="2">
        <f>COUNTIF(Locaties!$C$2:$C$157,$A8)</f>
        <v/>
      </c>
      <c r="D8" s="7">
        <f>SUMIF(Locaties!$C$2:$C$157,$A8,Locaties!$J$2:$J$157)</f>
        <v/>
      </c>
      <c r="E8" s="8">
        <f>SUMIF(Locaties!$C$2:$C$157,$A8,Locaties!$O$2:$O$157)</f>
        <v/>
      </c>
      <c r="F8" s="8">
        <f>SUMIF(Locaties!$C$2:$C$157,$A8,Locaties!$P$2:$P$157)</f>
        <v/>
      </c>
      <c r="G8" s="2" t="n">
        <v>4</v>
      </c>
    </row>
    <row r="9">
      <c r="A9" s="2" t="inlineStr">
        <is>
          <t>Baanakkerspad</t>
        </is>
      </c>
      <c r="B9" s="2" t="inlineStr">
        <is>
          <t>Amsterdam-Noord</t>
        </is>
      </c>
      <c r="C9" s="2">
        <f>COUNTIF(Locaties!$C$2:$C$157,$A9)</f>
        <v/>
      </c>
      <c r="D9" s="7">
        <f>SUMIF(Locaties!$C$2:$C$157,$A9,Locaties!$J$2:$J$157)</f>
        <v/>
      </c>
      <c r="E9" s="8">
        <f>SUMIF(Locaties!$C$2:$C$157,$A9,Locaties!$O$2:$O$157)</f>
        <v/>
      </c>
      <c r="F9" s="8">
        <f>SUMIF(Locaties!$C$2:$C$157,$A9,Locaties!$P$2:$P$157)</f>
        <v/>
      </c>
      <c r="G9" s="2" t="n">
        <v>2</v>
      </c>
    </row>
    <row r="10">
      <c r="A10" s="2" t="inlineStr">
        <is>
          <t>Buiksloterdijk</t>
        </is>
      </c>
      <c r="B10" s="2" t="inlineStr">
        <is>
          <t>Amsterdam-Noord — Asfalt Schades Heel Noord, Kadoelen</t>
        </is>
      </c>
      <c r="C10" s="2">
        <f>COUNTIF(Locaties!$C$2:$C$157,$A10)</f>
        <v/>
      </c>
      <c r="D10" s="7">
        <f>SUMIF(Locaties!$C$2:$C$157,$A10,Locaties!$J$2:$J$157)</f>
        <v/>
      </c>
      <c r="E10" s="8">
        <f>SUMIF(Locaties!$C$2:$C$157,$A10,Locaties!$O$2:$O$157)</f>
        <v/>
      </c>
      <c r="F10" s="8">
        <f>SUMIF(Locaties!$C$2:$C$157,$A10,Locaties!$P$2:$P$157)</f>
        <v/>
      </c>
      <c r="G10" s="2" t="n">
        <v>4</v>
      </c>
    </row>
    <row r="11">
      <c r="A11" s="2" t="inlineStr">
        <is>
          <t>Castorplein</t>
        </is>
      </c>
      <c r="B11" s="2" t="inlineStr">
        <is>
          <t>Amsterdam-Noord — Tuindorp Oostzaan</t>
        </is>
      </c>
      <c r="C11" s="2">
        <f>COUNTIF(Locaties!$C$2:$C$157,$A11)</f>
        <v/>
      </c>
      <c r="D11" s="7">
        <f>SUMIF(Locaties!$C$2:$C$157,$A11,Locaties!$J$2:$J$157)</f>
        <v/>
      </c>
      <c r="E11" s="8">
        <f>SUMIF(Locaties!$C$2:$C$157,$A11,Locaties!$O$2:$O$157)</f>
        <v/>
      </c>
      <c r="F11" s="8">
        <f>SUMIF(Locaties!$C$2:$C$157,$A11,Locaties!$P$2:$P$157)</f>
        <v/>
      </c>
      <c r="G11" s="2" t="n">
        <v>2</v>
      </c>
    </row>
    <row r="12">
      <c r="A12" s="2" t="inlineStr">
        <is>
          <t>Cornelis Roosstraat</t>
        </is>
      </c>
      <c r="B12" s="2" t="inlineStr">
        <is>
          <t>Amsterdam-Noord — Oostzanerwerf</t>
        </is>
      </c>
      <c r="C12" s="2">
        <f>COUNTIF(Locaties!$C$2:$C$157,$A12)</f>
        <v/>
      </c>
      <c r="D12" s="7">
        <f>SUMIF(Locaties!$C$2:$C$157,$A12,Locaties!$J$2:$J$157)</f>
        <v/>
      </c>
      <c r="E12" s="8">
        <f>SUMIF(Locaties!$C$2:$C$157,$A12,Locaties!$O$2:$O$157)</f>
        <v/>
      </c>
      <c r="F12" s="8">
        <f>SUMIF(Locaties!$C$2:$C$157,$A12,Locaties!$P$2:$P$157)</f>
        <v/>
      </c>
      <c r="G12" s="2" t="n">
        <v>3</v>
      </c>
    </row>
    <row r="13">
      <c r="A13" s="2" t="inlineStr">
        <is>
          <t>Eudorinastraat</t>
        </is>
      </c>
      <c r="B13" s="2" t="inlineStr">
        <is>
          <t>Amsterdam-Noord — Kadoelen</t>
        </is>
      </c>
      <c r="C13" s="2">
        <f>COUNTIF(Locaties!$C$2:$C$157,$A13)</f>
        <v/>
      </c>
      <c r="D13" s="7">
        <f>SUMIF(Locaties!$C$2:$C$157,$A13,Locaties!$J$2:$J$157)</f>
        <v/>
      </c>
      <c r="E13" s="8">
        <f>SUMIF(Locaties!$C$2:$C$157,$A13,Locaties!$O$2:$O$157)</f>
        <v/>
      </c>
      <c r="F13" s="8">
        <f>SUMIF(Locaties!$C$2:$C$157,$A13,Locaties!$P$2:$P$157)</f>
        <v/>
      </c>
      <c r="G13" s="2" t="n">
        <v>3</v>
      </c>
    </row>
    <row r="14">
      <c r="A14" s="2" t="inlineStr">
        <is>
          <t>Floraweg</t>
        </is>
      </c>
      <c r="B14" s="2" t="inlineStr">
        <is>
          <t>Amsterdam-Noord</t>
        </is>
      </c>
      <c r="C14" s="2">
        <f>COUNTIF(Locaties!$C$2:$C$157,$A14)</f>
        <v/>
      </c>
      <c r="D14" s="7">
        <f>SUMIF(Locaties!$C$2:$C$157,$A14,Locaties!$J$2:$J$157)</f>
        <v/>
      </c>
      <c r="E14" s="8">
        <f>SUMIF(Locaties!$C$2:$C$157,$A14,Locaties!$O$2:$O$157)</f>
        <v/>
      </c>
      <c r="F14" s="8">
        <f>SUMIF(Locaties!$C$2:$C$157,$A14,Locaties!$P$2:$P$157)</f>
        <v/>
      </c>
      <c r="G14" s="2" t="n">
        <v>2</v>
      </c>
    </row>
    <row r="15">
      <c r="A15" s="2" t="inlineStr">
        <is>
          <t>Grote Beerstraat</t>
        </is>
      </c>
      <c r="B15" s="2" t="inlineStr">
        <is>
          <t>Amsterdam-Noord — Tuindorp Oostzaan</t>
        </is>
      </c>
      <c r="C15" s="2">
        <f>COUNTIF(Locaties!$C$2:$C$157,$A15)</f>
        <v/>
      </c>
      <c r="D15" s="7">
        <f>SUMIF(Locaties!$C$2:$C$157,$A15,Locaties!$J$2:$J$157)</f>
        <v/>
      </c>
      <c r="E15" s="8">
        <f>SUMIF(Locaties!$C$2:$C$157,$A15,Locaties!$O$2:$O$157)</f>
        <v/>
      </c>
      <c r="F15" s="8">
        <f>SUMIF(Locaties!$C$2:$C$157,$A15,Locaties!$P$2:$P$157)</f>
        <v/>
      </c>
      <c r="G15" s="2" t="n">
        <v>2</v>
      </c>
    </row>
    <row r="16">
      <c r="A16" s="2" t="inlineStr">
        <is>
          <t>Jupiterstraat</t>
        </is>
      </c>
      <c r="B16" s="2" t="inlineStr">
        <is>
          <t>Amsterdam-Noord — Tuindorp Oostzaan</t>
        </is>
      </c>
      <c r="C16" s="2">
        <f>COUNTIF(Locaties!$C$2:$C$157,$A16)</f>
        <v/>
      </c>
      <c r="D16" s="7">
        <f>SUMIF(Locaties!$C$2:$C$157,$A16,Locaties!$J$2:$J$157)</f>
        <v/>
      </c>
      <c r="E16" s="8">
        <f>SUMIF(Locaties!$C$2:$C$157,$A16,Locaties!$O$2:$O$157)</f>
        <v/>
      </c>
      <c r="F16" s="8">
        <f>SUMIF(Locaties!$C$2:$C$157,$A16,Locaties!$P$2:$P$157)</f>
        <v/>
      </c>
      <c r="G16" s="2" t="n">
        <v>2</v>
      </c>
    </row>
    <row r="17">
      <c r="A17" s="2" t="inlineStr">
        <is>
          <t>Kadoelenweg</t>
        </is>
      </c>
      <c r="B17" s="2" t="inlineStr">
        <is>
          <t>Amsterdam-Noord — Asfalt Schades Heel Noord, Kadoelen, Noordelijke IJ - Oevers - West</t>
        </is>
      </c>
      <c r="C17" s="2">
        <f>COUNTIF(Locaties!$C$2:$C$157,$A17)</f>
        <v/>
      </c>
      <c r="D17" s="7">
        <f>SUMIF(Locaties!$C$2:$C$157,$A17,Locaties!$J$2:$J$157)</f>
        <v/>
      </c>
      <c r="E17" s="8">
        <f>SUMIF(Locaties!$C$2:$C$157,$A17,Locaties!$O$2:$O$157)</f>
        <v/>
      </c>
      <c r="F17" s="8">
        <f>SUMIF(Locaties!$C$2:$C$157,$A17,Locaties!$P$2:$P$157)</f>
        <v/>
      </c>
      <c r="G17" s="2" t="n">
        <v>5</v>
      </c>
    </row>
    <row r="18">
      <c r="A18" s="2" t="inlineStr">
        <is>
          <t>Kleine Beerstraat</t>
        </is>
      </c>
      <c r="B18" s="2" t="inlineStr">
        <is>
          <t>Amsterdam-Noord — Tuindorp Oostzaan</t>
        </is>
      </c>
      <c r="C18" s="2">
        <f>COUNTIF(Locaties!$C$2:$C$157,$A18)</f>
        <v/>
      </c>
      <c r="D18" s="7">
        <f>SUMIF(Locaties!$C$2:$C$157,$A18,Locaties!$J$2:$J$157)</f>
        <v/>
      </c>
      <c r="E18" s="8">
        <f>SUMIF(Locaties!$C$2:$C$157,$A18,Locaties!$O$2:$O$157)</f>
        <v/>
      </c>
      <c r="F18" s="8">
        <f>SUMIF(Locaties!$C$2:$C$157,$A18,Locaties!$P$2:$P$157)</f>
        <v/>
      </c>
      <c r="G18" s="2" t="n">
        <v>2</v>
      </c>
    </row>
    <row r="19">
      <c r="A19" s="2" t="inlineStr">
        <is>
          <t>Kleine Zonneplein</t>
        </is>
      </c>
      <c r="B19" s="2" t="inlineStr">
        <is>
          <t>Amsterdam-Noord — Tuindorp Oostzaan</t>
        </is>
      </c>
      <c r="C19" s="2">
        <f>COUNTIF(Locaties!$C$2:$C$157,$A19)</f>
        <v/>
      </c>
      <c r="D19" s="7">
        <f>SUMIF(Locaties!$C$2:$C$157,$A19,Locaties!$J$2:$J$157)</f>
        <v/>
      </c>
      <c r="E19" s="8">
        <f>SUMIF(Locaties!$C$2:$C$157,$A19,Locaties!$O$2:$O$157)</f>
        <v/>
      </c>
      <c r="F19" s="8">
        <f>SUMIF(Locaties!$C$2:$C$157,$A19,Locaties!$P$2:$P$157)</f>
        <v/>
      </c>
      <c r="G19" s="2" t="n">
        <v>3</v>
      </c>
    </row>
    <row r="20">
      <c r="A20" s="2" t="inlineStr">
        <is>
          <t>Kometensingel</t>
        </is>
      </c>
      <c r="B20" s="2" t="inlineStr">
        <is>
          <t>Amsterdam-Noord — Asfalt Schades Heel Noord, Tuindorp Oostzaan</t>
        </is>
      </c>
      <c r="C20" s="2">
        <f>COUNTIF(Locaties!$C$2:$C$157,$A20)</f>
        <v/>
      </c>
      <c r="D20" s="7">
        <f>SUMIF(Locaties!$C$2:$C$157,$A20,Locaties!$J$2:$J$157)</f>
        <v/>
      </c>
      <c r="E20" s="8">
        <f>SUMIF(Locaties!$C$2:$C$157,$A20,Locaties!$O$2:$O$157)</f>
        <v/>
      </c>
      <c r="F20" s="8">
        <f>SUMIF(Locaties!$C$2:$C$157,$A20,Locaties!$P$2:$P$157)</f>
        <v/>
      </c>
      <c r="G20" s="2" t="n">
        <v>4</v>
      </c>
    </row>
    <row r="21">
      <c r="A21" s="2" t="inlineStr">
        <is>
          <t>Koppelingpad</t>
        </is>
      </c>
      <c r="B21" s="2" t="inlineStr">
        <is>
          <t>Amsterdam-Noord — Tuindorp Oostzaan</t>
        </is>
      </c>
      <c r="C21" s="2">
        <f>COUNTIF(Locaties!$C$2:$C$157,$A21)</f>
        <v/>
      </c>
      <c r="D21" s="7">
        <f>SUMIF(Locaties!$C$2:$C$157,$A21,Locaties!$J$2:$J$157)</f>
        <v/>
      </c>
      <c r="E21" s="8">
        <f>SUMIF(Locaties!$C$2:$C$157,$A21,Locaties!$O$2:$O$157)</f>
        <v/>
      </c>
      <c r="F21" s="8">
        <f>SUMIF(Locaties!$C$2:$C$157,$A21,Locaties!$P$2:$P$157)</f>
        <v/>
      </c>
      <c r="G21" s="2" t="n">
        <v>3</v>
      </c>
    </row>
    <row r="22">
      <c r="A22" s="2" t="inlineStr">
        <is>
          <t>Landsmeerderdijk</t>
        </is>
      </c>
      <c r="B22" s="2" t="inlineStr">
        <is>
          <t>Amsterdam-Noord — Kadoelen</t>
        </is>
      </c>
      <c r="C22" s="2">
        <f>COUNTIF(Locaties!$C$2:$C$157,$A22)</f>
        <v/>
      </c>
      <c r="D22" s="7">
        <f>SUMIF(Locaties!$C$2:$C$157,$A22,Locaties!$J$2:$J$157)</f>
        <v/>
      </c>
      <c r="E22" s="8">
        <f>SUMIF(Locaties!$C$2:$C$157,$A22,Locaties!$O$2:$O$157)</f>
        <v/>
      </c>
      <c r="F22" s="8">
        <f>SUMIF(Locaties!$C$2:$C$157,$A22,Locaties!$P$2:$P$157)</f>
        <v/>
      </c>
      <c r="G22" s="2" t="n">
        <v>4</v>
      </c>
    </row>
    <row r="23">
      <c r="A23" s="2" t="inlineStr">
        <is>
          <t>Maanstraat</t>
        </is>
      </c>
      <c r="B23" s="2" t="inlineStr">
        <is>
          <t>Amsterdam-Noord — Tuindorp Oostzaan</t>
        </is>
      </c>
      <c r="C23" s="2">
        <f>COUNTIF(Locaties!$C$2:$C$157,$A23)</f>
        <v/>
      </c>
      <c r="D23" s="7">
        <f>SUMIF(Locaties!$C$2:$C$157,$A23,Locaties!$J$2:$J$157)</f>
        <v/>
      </c>
      <c r="E23" s="8">
        <f>SUMIF(Locaties!$C$2:$C$157,$A23,Locaties!$O$2:$O$157)</f>
        <v/>
      </c>
      <c r="F23" s="8">
        <f>SUMIF(Locaties!$C$2:$C$157,$A23,Locaties!$P$2:$P$157)</f>
        <v/>
      </c>
      <c r="G23" s="2" t="n">
        <v>3</v>
      </c>
    </row>
    <row r="24">
      <c r="A24" s="2" t="inlineStr">
        <is>
          <t>Marsstraat</t>
        </is>
      </c>
      <c r="B24" s="2" t="inlineStr">
        <is>
          <t>Amsterdam-Noord — Tuindorp Oostzaan</t>
        </is>
      </c>
      <c r="C24" s="2">
        <f>COUNTIF(Locaties!$C$2:$C$157,$A24)</f>
        <v/>
      </c>
      <c r="D24" s="7">
        <f>SUMIF(Locaties!$C$2:$C$157,$A24,Locaties!$J$2:$J$157)</f>
        <v/>
      </c>
      <c r="E24" s="8">
        <f>SUMIF(Locaties!$C$2:$C$157,$A24,Locaties!$O$2:$O$157)</f>
        <v/>
      </c>
      <c r="F24" s="8">
        <f>SUMIF(Locaties!$C$2:$C$157,$A24,Locaties!$P$2:$P$157)</f>
        <v/>
      </c>
      <c r="G24" s="2" t="n">
        <v>3</v>
      </c>
    </row>
    <row r="25">
      <c r="A25" s="2" t="inlineStr">
        <is>
          <t>Mercuriusstraat</t>
        </is>
      </c>
      <c r="B25" s="2" t="inlineStr">
        <is>
          <t>Amsterdam-Noord — Tuindorp Oostzaan</t>
        </is>
      </c>
      <c r="C25" s="2">
        <f>COUNTIF(Locaties!$C$2:$C$157,$A25)</f>
        <v/>
      </c>
      <c r="D25" s="7">
        <f>SUMIF(Locaties!$C$2:$C$157,$A25,Locaties!$J$2:$J$157)</f>
        <v/>
      </c>
      <c r="E25" s="8">
        <f>SUMIF(Locaties!$C$2:$C$157,$A25,Locaties!$O$2:$O$157)</f>
        <v/>
      </c>
      <c r="F25" s="8">
        <f>SUMIF(Locaties!$C$2:$C$157,$A25,Locaties!$P$2:$P$157)</f>
        <v/>
      </c>
      <c r="G25" s="2" t="n">
        <v>4</v>
      </c>
    </row>
    <row r="26">
      <c r="A26" s="2" t="inlineStr">
        <is>
          <t>Meteorensingel</t>
        </is>
      </c>
      <c r="B26" s="2" t="inlineStr">
        <is>
          <t>Amsterdam-Noord — Tuindorp Oostzaan</t>
        </is>
      </c>
      <c r="C26" s="2">
        <f>COUNTIF(Locaties!$C$2:$C$157,$A26)</f>
        <v/>
      </c>
      <c r="D26" s="7">
        <f>SUMIF(Locaties!$C$2:$C$157,$A26,Locaties!$J$2:$J$157)</f>
        <v/>
      </c>
      <c r="E26" s="8">
        <f>SUMIF(Locaties!$C$2:$C$157,$A26,Locaties!$O$2:$O$157)</f>
        <v/>
      </c>
      <c r="F26" s="8">
        <f>SUMIF(Locaties!$C$2:$C$157,$A26,Locaties!$P$2:$P$157)</f>
        <v/>
      </c>
      <c r="G26" s="2" t="n">
        <v>2</v>
      </c>
    </row>
    <row r="27">
      <c r="A27" s="2" t="inlineStr">
        <is>
          <t>Meteorenweg</t>
        </is>
      </c>
      <c r="B27" s="2" t="inlineStr">
        <is>
          <t>Amsterdam-Noord — Tuindorp Oostzaan</t>
        </is>
      </c>
      <c r="C27" s="2">
        <f>COUNTIF(Locaties!$C$2:$C$157,$A27)</f>
        <v/>
      </c>
      <c r="D27" s="7">
        <f>SUMIF(Locaties!$C$2:$C$157,$A27,Locaties!$J$2:$J$157)</f>
        <v/>
      </c>
      <c r="E27" s="8">
        <f>SUMIF(Locaties!$C$2:$C$157,$A27,Locaties!$O$2:$O$157)</f>
        <v/>
      </c>
      <c r="F27" s="8">
        <f>SUMIF(Locaties!$C$2:$C$157,$A27,Locaties!$P$2:$P$157)</f>
        <v/>
      </c>
      <c r="G27" s="2" t="n">
        <v>3</v>
      </c>
    </row>
    <row r="28">
      <c r="A28" s="2" t="inlineStr">
        <is>
          <t>Molenaarsweg</t>
        </is>
      </c>
      <c r="B28" s="2" t="inlineStr">
        <is>
          <t>Amsterdam-Noord — Asfalt Schades Heel Noord</t>
        </is>
      </c>
      <c r="C28" s="2">
        <f>COUNTIF(Locaties!$C$2:$C$157,$A28)</f>
        <v/>
      </c>
      <c r="D28" s="7">
        <f>SUMIF(Locaties!$C$2:$C$157,$A28,Locaties!$J$2:$J$157)</f>
        <v/>
      </c>
      <c r="E28" s="8">
        <f>SUMIF(Locaties!$C$2:$C$157,$A28,Locaties!$O$2:$O$157)</f>
        <v/>
      </c>
      <c r="F28" s="8">
        <f>SUMIF(Locaties!$C$2:$C$157,$A28,Locaties!$P$2:$P$157)</f>
        <v/>
      </c>
      <c r="G28" s="2" t="n">
        <v>3</v>
      </c>
    </row>
    <row r="29">
      <c r="A29" s="2" t="inlineStr">
        <is>
          <t>Molenwijk</t>
        </is>
      </c>
      <c r="B29" s="2" t="inlineStr">
        <is>
          <t>Amsterdam-Noord — Oostzanerwerf</t>
        </is>
      </c>
      <c r="C29" s="2">
        <f>COUNTIF(Locaties!$C$2:$C$157,$A29)</f>
        <v/>
      </c>
      <c r="D29" s="7">
        <f>SUMIF(Locaties!$C$2:$C$157,$A29,Locaties!$J$2:$J$157)</f>
        <v/>
      </c>
      <c r="E29" s="8">
        <f>SUMIF(Locaties!$C$2:$C$157,$A29,Locaties!$O$2:$O$157)</f>
        <v/>
      </c>
      <c r="F29" s="8">
        <f>SUMIF(Locaties!$C$2:$C$157,$A29,Locaties!$P$2:$P$157)</f>
        <v/>
      </c>
      <c r="G29" s="2" t="n">
        <v>3</v>
      </c>
    </row>
    <row r="30">
      <c r="A30" s="2" t="inlineStr">
        <is>
          <t>Neptunusstraat</t>
        </is>
      </c>
      <c r="B30" s="2" t="inlineStr">
        <is>
          <t>Amsterdam-Noord — Tuindorp Oostzaan</t>
        </is>
      </c>
      <c r="C30" s="2">
        <f>COUNTIF(Locaties!$C$2:$C$157,$A30)</f>
        <v/>
      </c>
      <c r="D30" s="7">
        <f>SUMIF(Locaties!$C$2:$C$157,$A30,Locaties!$J$2:$J$157)</f>
        <v/>
      </c>
      <c r="E30" s="8">
        <f>SUMIF(Locaties!$C$2:$C$157,$A30,Locaties!$O$2:$O$157)</f>
        <v/>
      </c>
      <c r="F30" s="8">
        <f>SUMIF(Locaties!$C$2:$C$157,$A30,Locaties!$P$2:$P$157)</f>
        <v/>
      </c>
      <c r="G30" s="2" t="n">
        <v>5</v>
      </c>
    </row>
    <row r="31">
      <c r="A31" s="2" t="inlineStr">
        <is>
          <t>Oostzanerdijk</t>
        </is>
      </c>
      <c r="B31" s="2" t="inlineStr">
        <is>
          <t>Amsterdam-Noord — Asfalt Schades Heel Noord, Oostzanerwerf</t>
        </is>
      </c>
      <c r="C31" s="2">
        <f>COUNTIF(Locaties!$C$2:$C$157,$A31)</f>
        <v/>
      </c>
      <c r="D31" s="7">
        <f>SUMIF(Locaties!$C$2:$C$157,$A31,Locaties!$J$2:$J$157)</f>
        <v/>
      </c>
      <c r="E31" s="8">
        <f>SUMIF(Locaties!$C$2:$C$157,$A31,Locaties!$O$2:$O$157)</f>
        <v/>
      </c>
      <c r="F31" s="8">
        <f>SUMIF(Locaties!$C$2:$C$157,$A31,Locaties!$P$2:$P$157)</f>
        <v/>
      </c>
      <c r="G31" s="2" t="n">
        <v>3</v>
      </c>
    </row>
    <row r="32">
      <c r="A32" s="2" t="inlineStr">
        <is>
          <t>Orionplantsoen</t>
        </is>
      </c>
      <c r="B32" s="2" t="inlineStr">
        <is>
          <t>Amsterdam-Noord — Tuindorp Oostzaan</t>
        </is>
      </c>
      <c r="C32" s="2">
        <f>COUNTIF(Locaties!$C$2:$C$157,$A32)</f>
        <v/>
      </c>
      <c r="D32" s="7">
        <f>SUMIF(Locaties!$C$2:$C$157,$A32,Locaties!$J$2:$J$157)</f>
        <v/>
      </c>
      <c r="E32" s="8">
        <f>SUMIF(Locaties!$C$2:$C$157,$A32,Locaties!$O$2:$O$157)</f>
        <v/>
      </c>
      <c r="F32" s="8">
        <f>SUMIF(Locaties!$C$2:$C$157,$A32,Locaties!$P$2:$P$157)</f>
        <v/>
      </c>
      <c r="G32" s="2" t="n">
        <v>5</v>
      </c>
    </row>
    <row r="33">
      <c r="A33" s="2" t="inlineStr">
        <is>
          <t>Orionstraat</t>
        </is>
      </c>
      <c r="B33" s="2" t="inlineStr">
        <is>
          <t>Amsterdam-Noord — Tuindorp Oostzaan</t>
        </is>
      </c>
      <c r="C33" s="2">
        <f>COUNTIF(Locaties!$C$2:$C$157,$A33)</f>
        <v/>
      </c>
      <c r="D33" s="7">
        <f>SUMIF(Locaties!$C$2:$C$157,$A33,Locaties!$J$2:$J$157)</f>
        <v/>
      </c>
      <c r="E33" s="8">
        <f>SUMIF(Locaties!$C$2:$C$157,$A33,Locaties!$O$2:$O$157)</f>
        <v/>
      </c>
      <c r="F33" s="8">
        <f>SUMIF(Locaties!$C$2:$C$157,$A33,Locaties!$P$2:$P$157)</f>
        <v/>
      </c>
      <c r="G33" s="2" t="n">
        <v>4</v>
      </c>
    </row>
    <row r="34">
      <c r="A34" s="2" t="inlineStr">
        <is>
          <t>Papaverweg</t>
        </is>
      </c>
      <c r="B34" s="2" t="inlineStr">
        <is>
          <t>Amsterdam-Noord — Asfalt Schades Heel Noord, Noordelijke IJ-Oevers-West</t>
        </is>
      </c>
      <c r="C34" s="2">
        <f>COUNTIF(Locaties!$C$2:$C$157,$A34)</f>
        <v/>
      </c>
      <c r="D34" s="7">
        <f>SUMIF(Locaties!$C$2:$C$157,$A34,Locaties!$J$2:$J$157)</f>
        <v/>
      </c>
      <c r="E34" s="8">
        <f>SUMIF(Locaties!$C$2:$C$157,$A34,Locaties!$O$2:$O$157)</f>
        <v/>
      </c>
      <c r="F34" s="8">
        <f>SUMIF(Locaties!$C$2:$C$157,$A34,Locaties!$P$2:$P$157)</f>
        <v/>
      </c>
      <c r="G34" s="2" t="n">
        <v>5</v>
      </c>
    </row>
    <row r="35">
      <c r="A35" s="2" t="inlineStr">
        <is>
          <t>Perenpad</t>
        </is>
      </c>
      <c r="B35" s="2" t="inlineStr">
        <is>
          <t>Amsterdam-Noord — Tuindorp Oostzaan</t>
        </is>
      </c>
      <c r="C35" s="2">
        <f>COUNTIF(Locaties!$C$2:$C$157,$A35)</f>
        <v/>
      </c>
      <c r="D35" s="7">
        <f>SUMIF(Locaties!$C$2:$C$157,$A35,Locaties!$J$2:$J$157)</f>
        <v/>
      </c>
      <c r="E35" s="8">
        <f>SUMIF(Locaties!$C$2:$C$157,$A35,Locaties!$O$2:$O$157)</f>
        <v/>
      </c>
      <c r="F35" s="8">
        <f>SUMIF(Locaties!$C$2:$C$157,$A35,Locaties!$P$2:$P$157)</f>
        <v/>
      </c>
      <c r="G35" s="2" t="n">
        <v>3</v>
      </c>
    </row>
    <row r="36">
      <c r="A36" s="2" t="inlineStr">
        <is>
          <t>Planetenplein</t>
        </is>
      </c>
      <c r="B36" s="2" t="inlineStr">
        <is>
          <t>Amsterdam-Noord — Tuindorp Oostzaan</t>
        </is>
      </c>
      <c r="C36" s="2">
        <f>COUNTIF(Locaties!$C$2:$C$157,$A36)</f>
        <v/>
      </c>
      <c r="D36" s="7">
        <f>SUMIF(Locaties!$C$2:$C$157,$A36,Locaties!$J$2:$J$157)</f>
        <v/>
      </c>
      <c r="E36" s="8">
        <f>SUMIF(Locaties!$C$2:$C$157,$A36,Locaties!$O$2:$O$157)</f>
        <v/>
      </c>
      <c r="F36" s="8">
        <f>SUMIF(Locaties!$C$2:$C$157,$A36,Locaties!$P$2:$P$157)</f>
        <v/>
      </c>
      <c r="G36" s="2" t="n">
        <v>3</v>
      </c>
    </row>
    <row r="37">
      <c r="A37" s="2" t="inlineStr">
        <is>
          <t>Planetenstraat</t>
        </is>
      </c>
      <c r="B37" s="2" t="inlineStr">
        <is>
          <t>Amsterdam-Noord — Tuindorp Oostzaan</t>
        </is>
      </c>
      <c r="C37" s="2">
        <f>COUNTIF(Locaties!$C$2:$C$157,$A37)</f>
        <v/>
      </c>
      <c r="D37" s="7">
        <f>SUMIF(Locaties!$C$2:$C$157,$A37,Locaties!$J$2:$J$157)</f>
        <v/>
      </c>
      <c r="E37" s="8">
        <f>SUMIF(Locaties!$C$2:$C$157,$A37,Locaties!$O$2:$O$157)</f>
        <v/>
      </c>
      <c r="F37" s="8">
        <f>SUMIF(Locaties!$C$2:$C$157,$A37,Locaties!$P$2:$P$157)</f>
        <v/>
      </c>
      <c r="G37" s="2" t="n">
        <v>2</v>
      </c>
    </row>
    <row r="38">
      <c r="A38" s="2" t="inlineStr">
        <is>
          <t>Plejadenplein</t>
        </is>
      </c>
      <c r="B38" s="2" t="inlineStr">
        <is>
          <t>Amsterdam-Noord</t>
        </is>
      </c>
      <c r="C38" s="2">
        <f>COUNTIF(Locaties!$C$2:$C$157,$A38)</f>
        <v/>
      </c>
      <c r="D38" s="7">
        <f>SUMIF(Locaties!$C$2:$C$157,$A38,Locaties!$J$2:$J$157)</f>
        <v/>
      </c>
      <c r="E38" s="8">
        <f>SUMIF(Locaties!$C$2:$C$157,$A38,Locaties!$O$2:$O$157)</f>
        <v/>
      </c>
      <c r="F38" s="8">
        <f>SUMIF(Locaties!$C$2:$C$157,$A38,Locaties!$P$2:$P$157)</f>
        <v/>
      </c>
      <c r="G38" s="2" t="n">
        <v>2</v>
      </c>
    </row>
    <row r="39">
      <c r="A39" s="2" t="inlineStr">
        <is>
          <t>Pomonastraat</t>
        </is>
      </c>
      <c r="B39" s="2" t="inlineStr">
        <is>
          <t>Amsterdam-Noord — Tuindorp Oostzaan</t>
        </is>
      </c>
      <c r="C39" s="2">
        <f>COUNTIF(Locaties!$C$2:$C$157,$A39)</f>
        <v/>
      </c>
      <c r="D39" s="7">
        <f>SUMIF(Locaties!$C$2:$C$157,$A39,Locaties!$J$2:$J$157)</f>
        <v/>
      </c>
      <c r="E39" s="8">
        <f>SUMIF(Locaties!$C$2:$C$157,$A39,Locaties!$O$2:$O$157)</f>
        <v/>
      </c>
      <c r="F39" s="8">
        <f>SUMIF(Locaties!$C$2:$C$157,$A39,Locaties!$P$2:$P$157)</f>
        <v/>
      </c>
      <c r="G39" s="2" t="n">
        <v>3</v>
      </c>
    </row>
    <row r="40">
      <c r="A40" s="2" t="inlineStr">
        <is>
          <t>Rigelstraat</t>
        </is>
      </c>
      <c r="B40" s="2" t="inlineStr">
        <is>
          <t>Amsterdam-Noord — Tuindorp Oostzaan</t>
        </is>
      </c>
      <c r="C40" s="2">
        <f>COUNTIF(Locaties!$C$2:$C$157,$A40)</f>
        <v/>
      </c>
      <c r="D40" s="7">
        <f>SUMIF(Locaties!$C$2:$C$157,$A40,Locaties!$J$2:$J$157)</f>
        <v/>
      </c>
      <c r="E40" s="8">
        <f>SUMIF(Locaties!$C$2:$C$157,$A40,Locaties!$O$2:$O$157)</f>
        <v/>
      </c>
      <c r="F40" s="8">
        <f>SUMIF(Locaties!$C$2:$C$157,$A40,Locaties!$P$2:$P$157)</f>
        <v/>
      </c>
      <c r="G40" s="2" t="n">
        <v>4</v>
      </c>
    </row>
    <row r="41">
      <c r="A41" s="2" t="inlineStr">
        <is>
          <t>Saturnusstraat</t>
        </is>
      </c>
      <c r="B41" s="2" t="inlineStr">
        <is>
          <t>Amsterdam-Noord — Tuindorp Oostzaan</t>
        </is>
      </c>
      <c r="C41" s="2">
        <f>COUNTIF(Locaties!$C$2:$C$157,$A41)</f>
        <v/>
      </c>
      <c r="D41" s="7">
        <f>SUMIF(Locaties!$C$2:$C$157,$A41,Locaties!$J$2:$J$157)</f>
        <v/>
      </c>
      <c r="E41" s="8">
        <f>SUMIF(Locaties!$C$2:$C$157,$A41,Locaties!$O$2:$O$157)</f>
        <v/>
      </c>
      <c r="F41" s="8">
        <f>SUMIF(Locaties!$C$2:$C$157,$A41,Locaties!$P$2:$P$157)</f>
        <v/>
      </c>
      <c r="G41" s="2" t="n">
        <v>4</v>
      </c>
    </row>
    <row r="42">
      <c r="A42" s="2" t="inlineStr">
        <is>
          <t>Scheepsbouwweg</t>
        </is>
      </c>
      <c r="B42" s="2" t="inlineStr">
        <is>
          <t>Amsterdam-Noord — Asfalt Schades Heel Noord, Tuindorp Oostzaan</t>
        </is>
      </c>
      <c r="C42" s="2">
        <f>COUNTIF(Locaties!$C$2:$C$157,$A42)</f>
        <v/>
      </c>
      <c r="D42" s="7">
        <f>SUMIF(Locaties!$C$2:$C$157,$A42,Locaties!$J$2:$J$157)</f>
        <v/>
      </c>
      <c r="E42" s="8">
        <f>SUMIF(Locaties!$C$2:$C$157,$A42,Locaties!$O$2:$O$157)</f>
        <v/>
      </c>
      <c r="F42" s="8">
        <f>SUMIF(Locaties!$C$2:$C$157,$A42,Locaties!$P$2:$P$157)</f>
        <v/>
      </c>
      <c r="G42" s="2" t="n">
        <v>4</v>
      </c>
    </row>
    <row r="43">
      <c r="A43" s="2" t="inlineStr">
        <is>
          <t>Schellingwouderdijk</t>
        </is>
      </c>
      <c r="B43" s="2" t="inlineStr">
        <is>
          <t>Amsterdam-Noord</t>
        </is>
      </c>
      <c r="C43" s="2">
        <f>COUNTIF(Locaties!$C$2:$C$157,$A43)</f>
        <v/>
      </c>
      <c r="D43" s="7">
        <f>SUMIF(Locaties!$C$2:$C$157,$A43,Locaties!$J$2:$J$157)</f>
        <v/>
      </c>
      <c r="E43" s="8">
        <f>SUMIF(Locaties!$C$2:$C$157,$A43,Locaties!$O$2:$O$157)</f>
        <v/>
      </c>
      <c r="F43" s="8">
        <f>SUMIF(Locaties!$C$2:$C$157,$A43,Locaties!$P$2:$P$157)</f>
        <v/>
      </c>
      <c r="G43" s="2" t="n">
        <v>2</v>
      </c>
    </row>
    <row r="44">
      <c r="A44" s="2" t="inlineStr">
        <is>
          <t>Sportpark Oostzanerwerf</t>
        </is>
      </c>
      <c r="B44" s="2" t="inlineStr">
        <is>
          <t>Amsterdam-Noord — Asfalt Schades Heel Noord</t>
        </is>
      </c>
      <c r="C44" s="2">
        <f>COUNTIF(Locaties!$C$2:$C$157,$A44)</f>
        <v/>
      </c>
      <c r="D44" s="7">
        <f>SUMIF(Locaties!$C$2:$C$157,$A44,Locaties!$J$2:$J$157)</f>
        <v/>
      </c>
      <c r="E44" s="8">
        <f>SUMIF(Locaties!$C$2:$C$157,$A44,Locaties!$O$2:$O$157)</f>
        <v/>
      </c>
      <c r="F44" s="8">
        <f>SUMIF(Locaties!$C$2:$C$157,$A44,Locaties!$P$2:$P$157)</f>
        <v/>
      </c>
      <c r="G44" s="2" t="n">
        <v>5</v>
      </c>
    </row>
    <row r="45">
      <c r="A45" s="2" t="inlineStr">
        <is>
          <t>Staghof</t>
        </is>
      </c>
      <c r="B45" s="2" t="inlineStr">
        <is>
          <t>Amsterdam-Noord</t>
        </is>
      </c>
      <c r="C45" s="2">
        <f>COUNTIF(Locaties!$C$2:$C$157,$A45)</f>
        <v/>
      </c>
      <c r="D45" s="7">
        <f>SUMIF(Locaties!$C$2:$C$157,$A45,Locaties!$J$2:$J$157)</f>
        <v/>
      </c>
      <c r="E45" s="8">
        <f>SUMIF(Locaties!$C$2:$C$157,$A45,Locaties!$O$2:$O$157)</f>
        <v/>
      </c>
      <c r="F45" s="8">
        <f>SUMIF(Locaties!$C$2:$C$157,$A45,Locaties!$P$2:$P$157)</f>
        <v/>
      </c>
      <c r="G45" s="2" t="n">
        <v>2</v>
      </c>
    </row>
    <row r="46">
      <c r="A46" s="2" t="inlineStr">
        <is>
          <t>Stellingweg</t>
        </is>
      </c>
      <c r="B46" s="2" t="inlineStr">
        <is>
          <t>Amsterdam-Noord — Oostzanerwerf</t>
        </is>
      </c>
      <c r="C46" s="2">
        <f>COUNTIF(Locaties!$C$2:$C$157,$A46)</f>
        <v/>
      </c>
      <c r="D46" s="7">
        <f>SUMIF(Locaties!$C$2:$C$157,$A46,Locaties!$J$2:$J$157)</f>
        <v/>
      </c>
      <c r="E46" s="8">
        <f>SUMIF(Locaties!$C$2:$C$157,$A46,Locaties!$O$2:$O$157)</f>
        <v/>
      </c>
      <c r="F46" s="8">
        <f>SUMIF(Locaties!$C$2:$C$157,$A46,Locaties!$P$2:$P$157)</f>
        <v/>
      </c>
      <c r="G46" s="2" t="n">
        <v>2</v>
      </c>
    </row>
    <row r="47">
      <c r="A47" s="2" t="inlineStr">
        <is>
          <t>Uranusstraat</t>
        </is>
      </c>
      <c r="B47" s="2" t="inlineStr">
        <is>
          <t>Amsterdam-Noord — Tuindorp Oostzaan</t>
        </is>
      </c>
      <c r="C47" s="2">
        <f>COUNTIF(Locaties!$C$2:$C$157,$A47)</f>
        <v/>
      </c>
      <c r="D47" s="7">
        <f>SUMIF(Locaties!$C$2:$C$157,$A47,Locaties!$J$2:$J$157)</f>
        <v/>
      </c>
      <c r="E47" s="8">
        <f>SUMIF(Locaties!$C$2:$C$157,$A47,Locaties!$O$2:$O$157)</f>
        <v/>
      </c>
      <c r="F47" s="8">
        <f>SUMIF(Locaties!$C$2:$C$157,$A47,Locaties!$P$2:$P$157)</f>
        <v/>
      </c>
      <c r="G47" s="2" t="n">
        <v>3</v>
      </c>
    </row>
    <row r="48">
      <c r="A48" s="2" t="inlineStr">
        <is>
          <t>Volendammerweg</t>
        </is>
      </c>
      <c r="B48" s="2" t="inlineStr">
        <is>
          <t>Amsterdam-Noord</t>
        </is>
      </c>
      <c r="C48" s="2">
        <f>COUNTIF(Locaties!$C$2:$C$157,$A48)</f>
        <v/>
      </c>
      <c r="D48" s="7">
        <f>SUMIF(Locaties!$C$2:$C$157,$A48,Locaties!$J$2:$J$157)</f>
        <v/>
      </c>
      <c r="E48" s="8">
        <f>SUMIF(Locaties!$C$2:$C$157,$A48,Locaties!$O$2:$O$157)</f>
        <v/>
      </c>
      <c r="F48" s="8">
        <f>SUMIF(Locaties!$C$2:$C$157,$A48,Locaties!$P$2:$P$157)</f>
        <v/>
      </c>
      <c r="G48" s="2" t="n">
        <v>3</v>
      </c>
    </row>
    <row r="49">
      <c r="A49" s="2" t="inlineStr">
        <is>
          <t>Zonneplein</t>
        </is>
      </c>
      <c r="B49" s="2" t="inlineStr">
        <is>
          <t>Amsterdam-Noord — Tuindorp Oostzaan</t>
        </is>
      </c>
      <c r="C49" s="2">
        <f>COUNTIF(Locaties!$C$2:$C$157,$A49)</f>
        <v/>
      </c>
      <c r="D49" s="7">
        <f>SUMIF(Locaties!$C$2:$C$157,$A49,Locaties!$J$2:$J$157)</f>
        <v/>
      </c>
      <c r="E49" s="8">
        <f>SUMIF(Locaties!$C$2:$C$157,$A49,Locaties!$O$2:$O$157)</f>
        <v/>
      </c>
      <c r="F49" s="8">
        <f>SUMIF(Locaties!$C$2:$C$157,$A49,Locaties!$P$2:$P$157)</f>
        <v/>
      </c>
      <c r="G49" s="2" t="n">
        <v>3</v>
      </c>
    </row>
    <row r="50">
      <c r="A50" s="2" t="inlineStr">
        <is>
          <t>Zonneweg</t>
        </is>
      </c>
      <c r="B50" s="2" t="inlineStr">
        <is>
          <t>Amsterdam-Noord — Tuindorp Oostzaan</t>
        </is>
      </c>
      <c r="C50" s="2">
        <f>COUNTIF(Locaties!$C$2:$C$157,$A50)</f>
        <v/>
      </c>
      <c r="D50" s="7">
        <f>SUMIF(Locaties!$C$2:$C$157,$A50,Locaties!$J$2:$J$157)</f>
        <v/>
      </c>
      <c r="E50" s="8">
        <f>SUMIF(Locaties!$C$2:$C$157,$A50,Locaties!$O$2:$O$157)</f>
        <v/>
      </c>
      <c r="F50" s="8">
        <f>SUMIF(Locaties!$C$2:$C$157,$A50,Locaties!$P$2:$P$157)</f>
        <v/>
      </c>
      <c r="G50" s="2" t="n">
        <v>4</v>
      </c>
    </row>
    <row r="51">
      <c r="A51" s="2" t="inlineStr">
        <is>
          <t>Zuideinde</t>
        </is>
      </c>
      <c r="B51" s="2" t="inlineStr">
        <is>
          <t>Amsterdam-Noord — Oostzanerwerf</t>
        </is>
      </c>
      <c r="C51" s="2">
        <f>COUNTIF(Locaties!$C$2:$C$157,$A51)</f>
        <v/>
      </c>
      <c r="D51" s="7">
        <f>SUMIF(Locaties!$C$2:$C$157,$A51,Locaties!$J$2:$J$157)</f>
        <v/>
      </c>
      <c r="E51" s="8">
        <f>SUMIF(Locaties!$C$2:$C$157,$A51,Locaties!$O$2:$O$157)</f>
        <v/>
      </c>
      <c r="F51" s="8">
        <f>SUMIF(Locaties!$C$2:$C$157,$A51,Locaties!$P$2:$P$157)</f>
        <v/>
      </c>
      <c r="G51" s="2" t="n">
        <v>3</v>
      </c>
    </row>
    <row r="52">
      <c r="A52" s="3" t="inlineStr">
        <is>
          <t>Totaal</t>
        </is>
      </c>
      <c r="C52" s="10">
        <f>SUM(C4:C51)</f>
        <v/>
      </c>
      <c r="D52" s="10">
        <f>SUM(D4:D51)</f>
        <v/>
      </c>
      <c r="E52" s="11">
        <f>SUM(E4:E51)</f>
        <v/>
      </c>
      <c r="F52" s="11">
        <f>SUM(F4:F51)</f>
        <v/>
      </c>
    </row>
    <row r="54">
      <c r="A54" s="2" t="inlineStr">
        <is>
          <t>Conditie is afgeleid uit het geschouwde schadeoppervlak per weg, niet uit een NEN 2767-inspectie. Zie het blad Toelichting.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2026-09-09T09:17:19Z</dcterms:created>
  <dcterms:modified xsi:type="dcterms:W3CDTF">2026-09-09T09:17:19Z</dcterms:modified>
</cp:coreProperties>
</file>